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cbncnbccs.sharepoint.com/sites/MarCommNBIN/Shared Documents/General/NPS/2026/Results-data/"/>
    </mc:Choice>
  </mc:AlternateContent>
  <xr:revisionPtr revIDLastSave="0" documentId="8_{E09B4828-68F8-4309-BF3F-57C2D50D9BF5}" xr6:coauthVersionLast="47" xr6:coauthVersionMax="47" xr10:uidLastSave="{00000000-0000-0000-0000-000000000000}"/>
  <bookViews>
    <workbookView xWindow="15" yWindow="-21720" windowWidth="51840" windowHeight="21120" activeTab="1" xr2:uid="{00000000-000D-0000-FFFF-FFFF00000000}"/>
  </bookViews>
  <sheets>
    <sheet name="nps non official" sheetId="2" r:id="rId1"/>
    <sheet name="2026" sheetId="1" r:id="rId2"/>
    <sheet name="Sheet1 (2)" sheetId="4" state="hidden" r:id="rId3"/>
  </sheets>
  <definedNames>
    <definedName name="_xlnm._FilterDatabase" localSheetId="1" hidden="1">'2026'!$A$1:$AC$195</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2" l="1"/>
  <c r="D27" i="4"/>
  <c r="F26" i="4"/>
  <c r="F27" i="4" s="1"/>
  <c r="E26" i="4"/>
  <c r="E27" i="4" s="1"/>
  <c r="D26" i="4"/>
  <c r="C26" i="4"/>
  <c r="C27" i="4" s="1"/>
  <c r="F25" i="4"/>
  <c r="E25" i="4"/>
  <c r="D25" i="4"/>
  <c r="C25" i="4"/>
  <c r="F24" i="4"/>
  <c r="E24" i="4"/>
  <c r="D24" i="4"/>
  <c r="C24" i="4"/>
  <c r="C19" i="2"/>
  <c r="D19" i="2"/>
  <c r="E19" i="2"/>
  <c r="B19" i="2"/>
  <c r="C18" i="2"/>
  <c r="D18" i="2"/>
  <c r="E18" i="2"/>
  <c r="B18" i="2"/>
  <c r="B20" i="2" s="1"/>
  <c r="B22" i="2" s="1"/>
  <c r="D20" i="2" l="1"/>
  <c r="D22" i="2" s="1"/>
  <c r="C20" i="2"/>
  <c r="C22" i="2" s="1"/>
  <c r="E22" i="2" s="1"/>
  <c r="C29" i="4"/>
</calcChain>
</file>

<file path=xl/sharedStrings.xml><?xml version="1.0" encoding="utf-8"?>
<sst xmlns="http://schemas.openxmlformats.org/spreadsheetml/2006/main" count="3923" uniqueCount="914">
  <si>
    <t>Nombre de QH2. How likely are you to recommend NBIN to a colleague or other business partner?</t>
  </si>
  <si>
    <t>Étiquettes de colonnes</t>
  </si>
  <si>
    <t>ELITE</t>
  </si>
  <si>
    <t>LC +MC</t>
  </si>
  <si>
    <t>SC</t>
  </si>
  <si>
    <t>Total général</t>
  </si>
  <si>
    <t>Étiquettes de lignes</t>
  </si>
  <si>
    <t>1 - Not at all likely</t>
  </si>
  <si>
    <t>2</t>
  </si>
  <si>
    <t>3</t>
  </si>
  <si>
    <t>4</t>
  </si>
  <si>
    <t>5</t>
  </si>
  <si>
    <t>6</t>
  </si>
  <si>
    <t>7</t>
  </si>
  <si>
    <t>8</t>
  </si>
  <si>
    <t>9</t>
  </si>
  <si>
    <t>10 - Very likely</t>
  </si>
  <si>
    <t>promotors</t>
  </si>
  <si>
    <t>detractors</t>
  </si>
  <si>
    <t>nps</t>
  </si>
  <si>
    <t>weights</t>
  </si>
  <si>
    <t>weighted nps for sum</t>
  </si>
  <si>
    <t>weighted NPS</t>
  </si>
  <si>
    <t>QUESTIONNAIRE #</t>
  </si>
  <si>
    <t>QK3. Do you allow Cube Research to share your individual responses with the executive in charge of NBIN´s customer service?</t>
  </si>
  <si>
    <t>Firm Type (Sample)</t>
  </si>
  <si>
    <t>Title (Sample)</t>
  </si>
  <si>
    <t>Region (Sample)</t>
  </si>
  <si>
    <t>RVP.  (Sample)</t>
  </si>
  <si>
    <t>RVP2.  (Sample)</t>
  </si>
  <si>
    <t>Tier (Sample)</t>
  </si>
  <si>
    <t>Survey Language</t>
  </si>
  <si>
    <t>QA2. Extremely dissatisfied/extremely satisfied - How satisfied are you with NBIN?</t>
  </si>
  <si>
    <t>QB2. Overall, how satisfied are you with NBIN´s trading services overall?</t>
  </si>
  <si>
    <t>QB2_O. What reason(s) prompted you to give a rating of [Response from QB2]? (Verbatim)</t>
  </si>
  <si>
    <t>QC2. Overall, how satisfied are you with NBIN´s technology solutions overall?</t>
  </si>
  <si>
    <t>QC2_O. What reason(s) prompted you to give a rating of [Response from QC2]? (Verbatim)</t>
  </si>
  <si>
    <t>QC4. How does your technology experience with NBIN compare to your experience with other custodian(s) in general?</t>
  </si>
  <si>
    <t>QC4_O. How is your experience with NBIN [better/worse] compared to other custodians in general? (Verbatim)</t>
  </si>
  <si>
    <t>QD2. Overall, how satisfied are you with the service related to estates?</t>
  </si>
  <si>
    <t>QD2_O. What reason(s) prompted you to give a rating of [Response from QD2]? (Verbatim)</t>
  </si>
  <si>
    <t>QE2. Overall, how satisfied are you with the service related to transfers?</t>
  </si>
  <si>
    <t>QE2_O. What reason(s) prompted you to give a rating of [Response from QE2]? (Verbatim)</t>
  </si>
  <si>
    <t>QF2. How satisfied are you overall with NBIN´s account administration services?</t>
  </si>
  <si>
    <t>QF2_O. What reason(s) prompted you to give a rating of [Response from QF2]? (Verbatim)</t>
  </si>
  <si>
    <t>QG1. Overall, how satisfied are you with NBIN´s client reporting services?</t>
  </si>
  <si>
    <t>QG1_O. What reason(s) prompted you to give a rating of [Response from QG1]? (Verbatim)</t>
  </si>
  <si>
    <t>QH2. How likely are you to recommend NBIN to a colleague or other business partner?</t>
  </si>
  <si>
    <t>QH2_O. What reason(s) prompted you to give a rating of [Response from QH2]? (Verbatim)</t>
  </si>
  <si>
    <t>QJ1_O. Identify NBIN's top 3 strengths (Verbatim)</t>
  </si>
  <si>
    <t>QJ2_O. What would be NBIN's top 3 opportunities for improvement? (Verbatim)</t>
  </si>
  <si>
    <t>No, respondent does not consent</t>
  </si>
  <si>
    <t>PM</t>
  </si>
  <si>
    <t>Senior Admin</t>
  </si>
  <si>
    <t>PM West</t>
  </si>
  <si>
    <t>West</t>
  </si>
  <si>
    <t>Michele Hansson</t>
  </si>
  <si>
    <t>MC</t>
  </si>
  <si>
    <t>English</t>
  </si>
  <si>
    <t>10 - Extremely satisfied</t>
  </si>
  <si>
    <t>I keep logging into a new portal to the new system but then I have to use the old system to make anything work.</t>
  </si>
  <si>
    <t>They've got a good platform and strong management.</t>
  </si>
  <si>
    <t>Management team.   They're excellent and strong.  They're accessible which is important.   I'm happy with the National Bank brand and it's growth in western Canada.   NBIN host good events.</t>
  </si>
  <si>
    <t>Streamline technology.   There's multiple platforms.  There's a new version and an old version.</t>
  </si>
  <si>
    <t>PM Ontario</t>
  </si>
  <si>
    <t>Ont</t>
  </si>
  <si>
    <t>Todd Brennand</t>
  </si>
  <si>
    <t>T Brennand</t>
  </si>
  <si>
    <t>The servicing system is slow. Getting on to the servicing system; more times than not we get error messages. When going from one transaction to another the fields you need to use are different; they are from another transaction. You have to sign off and back on and that is my main distress.</t>
  </si>
  <si>
    <t>A worse experience with NBIN</t>
  </si>
  <si>
    <t>I'm able to log in quickly and process transactions efficiently.</t>
  </si>
  <si>
    <t>The response time is slow.  Sometimes we dont get a response and it results in continuous follow up. I recall one time where I was caught between the relinquishing institution and NBIN and getting two different stories as to what delay was about.</t>
  </si>
  <si>
    <t>DNK/NOT APPLICABLE</t>
  </si>
  <si>
    <t>They are professional   When you escalate someone gets back to you.</t>
  </si>
  <si>
    <t>A better transfer department   A better servicing system. Sometimes emails are ai related or ai generated. It is not very personal.</t>
  </si>
  <si>
    <t>IB</t>
  </si>
  <si>
    <t>IB East</t>
  </si>
  <si>
    <t>East</t>
  </si>
  <si>
    <t>Han Tran</t>
  </si>
  <si>
    <t>A similar experience</t>
  </si>
  <si>
    <t>The length of time to process an estate. Clarification of delivery of proceeds.</t>
  </si>
  <si>
    <t>Completeness and accuracy of their work.</t>
  </si>
  <si>
    <t>Regarding statements, some additional information such as beneficiaries would be beneficial to see on the statement as well as any pending trades that have not yet happened.  Regarding Portfolio Plus - to obtain a user password and link account takes a lot of time and is a very manual process.</t>
  </si>
  <si>
    <t>The team is working hard to make improvements in their service model.</t>
  </si>
  <si>
    <t>Their commitment to customer service.   Their commitment to improving technology.   Nothing else comes to mind</t>
  </si>
  <si>
    <t>staff retention   more timely response   better improved data availability</t>
  </si>
  <si>
    <t>Principal/Executive</t>
  </si>
  <si>
    <t>PM East</t>
  </si>
  <si>
    <t>French</t>
  </si>
  <si>
    <t>Rapiditer de service, relation d'affaires avec les employers,  experience cliente tres favorable.</t>
  </si>
  <si>
    <t>Orienter client.   Capaciter a trouver les solutions.   Encadrement prise en charge.</t>
  </si>
  <si>
    <t>Because the systems are not integrated. They are legacy systems that are not integrated, result of all the acquisitions.  You need many different passwords for the platform, its not a seem less experience.</t>
  </si>
  <si>
    <t>There were system errors for the client tax slips that costed me allot of time because I had to get in between. I had to  interface with the client and had to overlook them being fixed.</t>
  </si>
  <si>
    <t>I had to pick a number.</t>
  </si>
  <si>
    <t>Allot of human resources.   Expertise on administrative matters.   I think my area rep is very good, Todd. I have a good relationship with him. He compensates me about things I'm not happy about.</t>
  </si>
  <si>
    <t>Technology.   Modernization of its interfaces.   Response time from their professionals.</t>
  </si>
  <si>
    <t>IB Pacific</t>
  </si>
  <si>
    <t>Pacific</t>
  </si>
  <si>
    <t>Lack of response. We had to repeat ourselves a number of times to get something done</t>
  </si>
  <si>
    <t>Lack of response. We had to repeat ourselves</t>
  </si>
  <si>
    <t>There are very few carrying brokers or custodians these days. Once they have you, they have you. You are  kind a stuck and there are very limited options</t>
  </si>
  <si>
    <t>size   market access   trading</t>
  </si>
  <si>
    <t>faster response time   Technology. We have had some issues with their key systems.</t>
  </si>
  <si>
    <t>Matthew Pollock</t>
  </si>
  <si>
    <t>M Pollock</t>
  </si>
  <si>
    <t>Ca tien compte de l'experience de toutes a passer. Commment no processus fonctionne, la rapiditer,  est l'experience quotidienne.</t>
  </si>
  <si>
    <t>Je dirai longvergure, sont grosse, la volume.   Experitise.</t>
  </si>
  <si>
    <t>Dirai les delai traitements. Le delai des reponse, des fois sa prend tres long.   La flexibiliter.</t>
  </si>
  <si>
    <t>Yes, respondent consents</t>
  </si>
  <si>
    <t>A better experience with NBIN</t>
  </si>
  <si>
    <t>They are further along on being able access things and process transactions than other custodians. There is some inconsistency on the platforms not being available, under maintenence and providing updates is frustrating. When thing are working work well they are good.</t>
  </si>
  <si>
    <t>A good part of the system is that you can access a lot of information for different accounts. It is user friendly. The updates are not done on a timely manner. When reaching out to staff members, the answers are not always correct or inconsistent.</t>
  </si>
  <si>
    <t>Overall NBIN is a good custodian. There are some struggles with the new restructuring, hopefully it improves over time. Not a lot of complaints. It is a good business with some pain points as they work through the restructuring.</t>
  </si>
  <si>
    <t>Technology, online training solutions   client services when escalating to team leads</t>
  </si>
  <si>
    <t>Create more knowledge within the teams to provide consistent messaging to client.   Taking more accountability when things go wrong and provide answers.   provide more support to clients</t>
  </si>
  <si>
    <t>Paulo Demarco</t>
  </si>
  <si>
    <t>I have a positive experience with NBIN.</t>
  </si>
  <si>
    <t>People.</t>
  </si>
  <si>
    <t>Capital introduction.   Assistance with sales integration through the retail channel.</t>
  </si>
  <si>
    <t>Inconsistent guidance and requirements.  Too much back and forth on seeking questions and answers.</t>
  </si>
  <si>
    <t>Limited custodian offering in Canada.   Better than average service.  Ease of use.</t>
  </si>
  <si>
    <t>High quality executive team.   Good self serve platform.   Willingness for collaboration</t>
  </si>
  <si>
    <t>Full achievement of specialized service teams.   A la carte reporting options.   Integrated onboarding for firm specific needs.</t>
  </si>
  <si>
    <t>Because it is tailored to the needs of an ICPM.</t>
  </si>
  <si>
    <t>It would depend on needs of the relationship.</t>
  </si>
  <si>
    <t>responsiveness   proactiveness   relationships</t>
  </si>
  <si>
    <t>reporting   Additional access to data.   technology</t>
  </si>
  <si>
    <t>LC</t>
  </si>
  <si>
    <t>1 - Extremely dissatisfied</t>
  </si>
  <si>
    <t>They just simply have a simpler easy, better to use interface that requires less manual follow up.</t>
  </si>
  <si>
    <t>Massive delays. People don't seem to be able to respond on a timely basis. Follow ups are put in the back of the list and the SLA is not being met and they don't seem to have the resources to handle these types of situations.</t>
  </si>
  <si>
    <t>Mistakes on incoming transfers and long processing times.</t>
  </si>
  <si>
    <t>Long delays in responding , the new service model isn't working, requests take  a long time to resolve.</t>
  </si>
  <si>
    <t>The service quality has deteriated in the last year and it would make it very hard for them to execute on this business, therefore it would be hard for me to recommend this to anyone.</t>
  </si>
  <si>
    <t>Client does not see any strengths right now.</t>
  </si>
  <si>
    <t>Every area of NBIN that we are in touch with seems to be having difficulties and delays.   This is the worst we've ever seen it in our twenty year history.</t>
  </si>
  <si>
    <t>Initially, I'd say for the first six months, there were a lot of issues with getting correct instructions from NBIN.  The response time from their team was very lengthy.  I will say with the past few months, things have improved a little bit.</t>
  </si>
  <si>
    <t>The amount of issues we've had in the past, specifically with the length in replies and in getting incorrect instructions.  Overall, the systems they have in place are good.  They would be more efficient if they were able to give us more timely responses.</t>
  </si>
  <si>
    <t>Their estates department is good at what they do.   I have very few issues when I reach out to the estate team and I can trust what they say is what I should be doing.   Whenever anything is escalated, their team acts much more promptly and they do everything to get it resolved.   Their systems that they have  in place encompass are good and user-friendly systems.</t>
  </si>
  <si>
    <t>More timely responses to the emails.   Accuracy of the instructions and guidance that they provide.</t>
  </si>
  <si>
    <t>High quality, good communication, responsiveness, experience and knowledge.</t>
  </si>
  <si>
    <t>knowledge   responsiveness   professionalism</t>
  </si>
  <si>
    <t>cross management   proactive engagement   Clarity of invoicing</t>
  </si>
  <si>
    <t>NetRep is easy to use. IMOS is quite clear. The onboarding is really good to use but would like to see some improvements.</t>
  </si>
  <si>
    <t>We had some issues at tax time regarding specific T4RIF slips. It took a lot of back and forth and time we needed.</t>
  </si>
  <si>
    <t>I would recommend them but have have to give a warning about problems we have experienced with the new model. The specialist teams are taking a long time to respond and some of the answers we are getting are getting are not good. We much preferred having a point person who knew us and how we work.</t>
  </si>
  <si>
    <t>technology   The previous team and we are very fond of them when deal  when them now - we are always satisfied.   The onboarding - we are quite happy with that. The only exception is that FHSA are not incorporated into the model.</t>
  </si>
  <si>
    <t>response times   quality of responses   Compass time outs are to fast - 5 minutes or less. We should be be able extend that.</t>
  </si>
  <si>
    <t>They're very diligent in providing services. They care about their customers. They continue  to improve their services, even though they are growing very fast and have challenges giving the right answer. That's why I gave a six on that. They're always working towards improving. They're dedicated in educating their clients with various training solutions.</t>
  </si>
  <si>
    <t>Cares about the client.   Dedicated support.   Education and training.</t>
  </si>
  <si>
    <t>Technology services specifically in trading.   Back office administrative training.   Market awareness.</t>
  </si>
  <si>
    <t>Speed and responsiveness. It is a little bit slow, so, their efficiency.</t>
  </si>
  <si>
    <t>They are more reliable reputable.</t>
  </si>
  <si>
    <t>The size of their team.   Leadership   Dependability</t>
  </si>
  <si>
    <t>Response time.`   Ease of reach. Sometimes you send something into inbox and you just done know where it lands.</t>
  </si>
  <si>
    <t>I truley value the collaboration with the teams I work with. They are hard working and come through when need help with clients. Overall they are very collaborative and enjoy the partnership with them. They are really willing to help.</t>
  </si>
  <si>
    <t>The account team is very knowledgeable and very helpful in accounts opening process.   NBIN's implementation team - the individuals I work with go above and beyond.   Paulo the Regional VP - Paulo I value his relationship skills. He is in tune with clients and value our partnership. The creating collaborative extends to his  entire team.</t>
  </si>
  <si>
    <t>The response time can be slow due to the transition to dedicated teams.   There are improvements to be made in the OB platform   The way they set up new users in the onboarding platform needs to be improved.</t>
  </si>
  <si>
    <t>The technology is dated and there are no real time updates. We have to wait a day to get information on a  transaction. An example is that if a client pays today we will not see a transaction posting until a day later. It is extremely frustrating.</t>
  </si>
  <si>
    <t>Real time updates would make it easier to make decisions.</t>
  </si>
  <si>
    <t>The time it takes for a transfer from one firm to another. There is no reason for it. NBIN drags its feet on outbound transfers. It can take 11-12 days and is ridiculous. It is due to NBIN's own internal policies. It needs to be done in a timely manner.</t>
  </si>
  <si>
    <t>It depends on their business model. Their technology is not strong but depends on what client is looking for. I also use Fidelity but cant compare their technology to NBIN's.</t>
  </si>
  <si>
    <t>Professionalism in dealing with issues.   communication</t>
  </si>
  <si>
    <t>technology   Their staffing in some areas. It seems to be running on vapors and we are not getting the needed turn around time.</t>
  </si>
  <si>
    <t>When transfers are submitted, National Bank is not confirming that they're set up in good order.  There's a lot of back and forth rejections rather than a first rejection including all the issues.</t>
  </si>
  <si>
    <t>90% of operations are great, 10% could be improved.</t>
  </si>
  <si>
    <t>Their online platform is pretty good.   It's becoming more automated and less manual.   Their online client reporting is good as well.  The ease of access.</t>
  </si>
  <si>
    <t>Transfers.   Clarifying issues at the beginning of the process.   They recently restructured their emails for different departments.   Their responsibilities need to be clarified.   They call it the SLA times, which are a bit long.</t>
  </si>
  <si>
    <t>The long timeline on transfers. The response from the transfer team on our questions.</t>
  </si>
  <si>
    <t>Of the options available, they are sufficient.</t>
  </si>
  <si>
    <t>Trading.   Communication.   Support to us as a business.</t>
  </si>
  <si>
    <t>Consistency in administrative procedures.   Their technology platforms, especially from the client-facing perspective.   Their ability to offer creative solutions for business growth opportunities.</t>
  </si>
  <si>
    <t>It depends</t>
  </si>
  <si>
    <t>its because there not apples to apples applications to be able to  provide a proper comparaison</t>
  </si>
  <si>
    <t>Because of our long relationship with NBIN and employees that we have built relationships with -it would be easier for any firms that we work with to use the same custodian that we work with</t>
  </si>
  <si>
    <t>Their employees and they willingness to assist   Consistantly working on improving their technology   None</t>
  </si>
  <si>
    <t>Going back to a dedicated service rep for any assistant needed for the firm   Acknowledgement  of emails in a timely manner   Improving user experience on their MyRequest application</t>
  </si>
  <si>
    <t>I can't trade bonds directly.  We can't trade directly on our ETFs.</t>
  </si>
  <si>
    <t>The core issue would be the look and feel of the reports and technology of NBIN.</t>
  </si>
  <si>
    <t>Weak technology.  Some inefficiencies in their system.</t>
  </si>
  <si>
    <t>The brand.  It's a recognized chartered bank.   Good people.   Cost effective pricing.</t>
  </si>
  <si>
    <t>Upgrade their systems.   Bring them into 2026.  They're all using antiquated technology.   To add a portfolio management system.</t>
  </si>
  <si>
    <t>They can be better.</t>
  </si>
  <si>
    <t>Knowledgeable staff.   Higher-up admin staff have expertise which is appreciated.   Overall, their platforms work efficiently.</t>
  </si>
  <si>
    <t>For entry-level admin staff to be trained better.   There could be faster response times.   Revamp the platforms to all be on one platform.</t>
  </si>
  <si>
    <t>The overall service that NBIN provides is excellent, their technology leads me to an eight as opposed to ten.</t>
  </si>
  <si>
    <t>Client service.   Focus on portfolio management sector.   The people.</t>
  </si>
  <si>
    <t>Improve technology.</t>
  </si>
  <si>
    <t>Une bonne reputation aux Quebec, tres importante pour mes clients.</t>
  </si>
  <si>
    <t>Les outils technologiques.   La reputation.   La varieter des produits accessible.</t>
  </si>
  <si>
    <t>La service a la clientelle.   Delay de traitment des demande.   Creation d'un manuelle des precedures administratifs.</t>
  </si>
  <si>
    <t>PM Pacific</t>
  </si>
  <si>
    <t>A disconnect between different platforms. A lack of being on par with what is expected from clients these days. Wealth Simple is the bar. My Portfolio Plus is dated in terms of its look and feel. The onboard experience is very clunky.</t>
  </si>
  <si>
    <t>They are the only custodian we work with and are good enough.</t>
  </si>
  <si>
    <t>Trade execution   Openness to technology feedback   The senior executive team being very accessible</t>
  </si>
  <si>
    <t>Actually making technology advances   Continuity in service staff   Similar training between service staff</t>
  </si>
  <si>
    <t>Overall they provide everything we need to manage our accounts.</t>
  </si>
  <si>
    <t>technology   response time   statements</t>
  </si>
  <si>
    <t>knowledge of administration staff.</t>
  </si>
  <si>
    <t>Because we have had a business relationship with them for years.</t>
  </si>
  <si>
    <t>Good customer service.   Always willing to listen.</t>
  </si>
  <si>
    <t>Speediness of responses.   Getting me the correct answer the first time.</t>
  </si>
  <si>
    <t>IB Ontario</t>
  </si>
  <si>
    <t>The turn around time is very slow.</t>
  </si>
  <si>
    <t>The process takes too long. The only come back to you when you chase them not automatically.</t>
  </si>
  <si>
    <t>We have worked with them for 20 plus years. We have a record with them.</t>
  </si>
  <si>
    <t>customer service   infrastructure   knowledge</t>
  </si>
  <si>
    <t>The estate department need improvement in turn around.   The RESP department needs improvement.   The transfer department needs improvement.</t>
  </si>
  <si>
    <t>They have good service. They need to be more proactive in their teams. Overall they have a good service. The platform is very easy to use.</t>
  </si>
  <si>
    <t>The overall trading system is very good.   Their service in terms of the platform is very good and easy to use and manage.   They are very good in communicating with clients like us.</t>
  </si>
  <si>
    <t>The account manager and team need to be more proactive. They take too long to answer one question you have.   They need to train or hire more people so as not to take too long to answer questions.</t>
  </si>
  <si>
    <t>The user experience with technology. Their willingness to build relationships with clients. Their willing to always try to help.</t>
  </si>
  <si>
    <t>The use of technology   Building relationships   Willingness to always help</t>
  </si>
  <si>
    <t>Internal training for their employees   Ensure their employees know their clients - like us.   Promptness on responses</t>
  </si>
  <si>
    <t>je suis generalemant satisfaites des servicea que l'on recoit et il y a de moins en moins d'offres sur le marche.</t>
  </si>
  <si>
    <t>Le travail en technologie - l'amelioration qu'il font a leur systeme   Leurs ecoute quand on a des demandes specifiques   La collaboration que je peux  avoir avec certains departements specifiques</t>
  </si>
  <si>
    <t>il devait ameliorer leurs expertise et connaisesse en operations   Les communications - ils  devraient communiquer un probleme avant que ca soit nous qui leur dit qu'il y a un probleme   none</t>
  </si>
  <si>
    <t>The responsiveness has decreased. There is no accountability and no responsiveness. We had a team in past no longer have that.</t>
  </si>
  <si>
    <t>There has been a real decline in responsiveness. NBIN changed their response model/delivery model and we are not get responses. They have decentralized. Prior to this I would have given them a higher rating. There is no longer any accountability.</t>
  </si>
  <si>
    <t>Overall the offering is very good. It is just that the decentralized model of service that is the real stickibg point and it needs to addressed.</t>
  </si>
  <si>
    <t>The business model for portfolio mangers   Integratio0n with portfolio management system   Integration with trading</t>
  </si>
  <si>
    <t>Providing a strong daily service team   Dramatically improving responsiveness</t>
  </si>
  <si>
    <t>NBIN has more of a team approach and better technology reporting. NBIN provides regulatory updates.</t>
  </si>
  <si>
    <t>We are satisfied with the customer service NBIN provides.</t>
  </si>
  <si>
    <t>The ability to contact the right person the first time.   The custodial statement layout.   The trade support team.</t>
  </si>
  <si>
    <t>More competitive interest rate on cash accounts.   Ability to recover swiss dividends withholding taxes.</t>
  </si>
  <si>
    <t>Nick Sarazin</t>
  </si>
  <si>
    <t>Happy with the service and a good relationship with the team.</t>
  </si>
  <si>
    <t>Client service   Commitment to the quality</t>
  </si>
  <si>
    <t>More flexibility with client solutions</t>
  </si>
  <si>
    <t>We have had tranfers that took significantly longer than anticipated. We have had issues with a client who reached out NBIN and did not receive a response or the response was not clear. This led to further delays. We have also had information from NBIN on an update was incorrect. The client reached out to their own institution and the information they got conflicted with what we had recieved from NBIN. This resulted in us looking unprofessional.</t>
  </si>
  <si>
    <t>We have a generally positive opinion of NBIN. But we had issue regarding how quickly the team gets back to us. Issues around being timely, inaccurate information and not being proactive have caused delays. There has been a loss of time and effort.</t>
  </si>
  <si>
    <t>The cost for service they provide and it is competitively priced.   We have had a long standing relationship and overall our general impression is positive.   It is a very well recognized name that inspires a sense of confidence in our clients.</t>
  </si>
  <si>
    <t>Consistency and opportunities for communication with clients and accuracy of the information they provide.   Getting back to clients in timely manner.   Accuracy and proactivity when required and always cite a reason or next steps.</t>
  </si>
  <si>
    <t>It is a long term relationship and very positive. You have asked very appropriate questions. The leadership is amazing. There has been a impetus to put work back on my team and that my niggle. We used to use TD now it is NBIN. I'm looking to hire another Op's person. Overall we are happy with the services on the portfolio management side. Some of the Operations side is a work in progress.</t>
  </si>
  <si>
    <t>strong management   strong trading desk   They are always working on new initiatives like upgrading.</t>
  </si>
  <si>
    <t>If someone is good on the op's side they get promoted or they move on in 6-12 months. They tax our Op's more than I am comfortable with which is why I am looking at hiring an additional Op's person.</t>
  </si>
  <si>
    <t>It has been a struggle of late and it is not getting better. Communication is slow. The new method they are using to communicate was supposed to enhance or increase service level but has declined. The turn around time is an issue for us.</t>
  </si>
  <si>
    <t>It depends on the clients needs. NBIN has been doing this for a very long time. Our experience this year has not been great. I trust the people behind it and hope that we continue to have a voice to ensure changes are made.</t>
  </si>
  <si>
    <t>The level of experience behind the platform.   They are trying to take into account all clients needs.   When we do escalate they are open to hearing our experience and trying to make changes. They have events that bring us all us together to provide feedback.</t>
  </si>
  <si>
    <t>Communication between us as client and service team.   I dont know who is responsible for servicing our requests. Sometimes it takes while to get a response. We have been told to mark the request as urgent but I dont feel that we should have to do that with every request.   The communication flow. The time it takes to get a response. What ever system they are using is impeding our flow. As far as I know, our emails go to a general system and sits in a line until someone responds. We dont have someone who knows us anymore.</t>
  </si>
  <si>
    <t>Parce ce que NBIN represent un des meilleurs choix sur le marcher.</t>
  </si>
  <si>
    <t>Je dirai reputation.   Soliditer financieres.   Leader dans sont industrie.</t>
  </si>
  <si>
    <t>Les delai dans les requettes, de demande de l"information. Sont assez long.   Un meilleur soutien ou support avec l'application croesus.   Ameliorer l'application de fichiers SFTP.</t>
  </si>
  <si>
    <t>I think NBIN offers more options with its application, the other custodians I deal with but very limited.</t>
  </si>
  <si>
    <t>I guess we've had an overall good experience with NBIN. It meets all of our needs for the most part and our client needs as well.</t>
  </si>
  <si>
    <t>I guess there applications they offer wide range of services.   They're very professional and courteous.   Basically the service they provide is convenient and well provided to us  as the institutional client and our mutual clients as well.</t>
  </si>
  <si>
    <t>I guess communication regarding questions and situations when trying to reach NBIN services, not sure if more people are needed to cover that area.   Turn around time for responses to queries.   One issue we have is finding answers on Compass. If more information could be available for Compass on common problems.</t>
  </si>
  <si>
    <t>Just overall relationship with NBIN over the years. It would have been higher if the fees weren't renegotiated the way they were.</t>
  </si>
  <si>
    <t>Relationship management.   Attention to detail.   Execution.</t>
  </si>
  <si>
    <t>Transparency.   Fees.   Proactiveness.</t>
  </si>
  <si>
    <t>NBIN is the best option that Im aware of</t>
  </si>
  <si>
    <t>Their technology platform is better than other custodians.   The response team/service team is excellent.   Curtosy and proffessionalism.</t>
  </si>
  <si>
    <t>The trading fees are too high.   The custody fees are too high.   The response time in email box should be faster.</t>
  </si>
  <si>
    <t>I have no comment.</t>
  </si>
  <si>
    <t>They need to work on the timeliness of their responses.   When responding with a solution, or solution has been completed.  They need to check to see that's actually happened.</t>
  </si>
  <si>
    <t>It depends on needs and size of the organization. If they were more similar to ours, I would recommend NBIN.</t>
  </si>
  <si>
    <t>Industry knowledge   Access to specialty subgroups   The number of clients they have that are similar to our business profile.</t>
  </si>
  <si>
    <t>The current service model channels all requests through the service teams slows down responsiveness.   technol the use to track progr of req - needs to be mre robust   access to people in specialty grps</t>
  </si>
  <si>
    <t>length of time for settlement and the disjointed technical system we have to use -the MyRequest system through Compass and the reason is that my request status can only be seen by the person working on it but my co workers working on it in my absence cannot see information - so its a clunker especially if we are both working on the same estate.</t>
  </si>
  <si>
    <t>I dont think anything is perfect so they wont get a perfect score from  me</t>
  </si>
  <si>
    <t>The speed of processing day to day client transactions like electronics funds out to peoples accounts- any daily  money transactions related to our clients money accounts is a smooth process   Resource info available on Compass is good such as Registerd Plans and new account applications   sale of securites is also a seamless process</t>
  </si>
  <si>
    <t>Communication is slow -we used to use a pm support group so if i had a specific question (I as a client) could go directly to them   They have eliminated the single point of process for us and so now we have to go to multiple departments instead of one point of contact   For the whole area of estate there is a need for more resources for clients- they need to train us in how to have a smooth estate settlement process.</t>
  </si>
  <si>
    <t>NBIN is easier to use. The access to client data more seamless.</t>
  </si>
  <si>
    <t>Difficulty in contacting people actually working on a file. Delay in processing distributions to beneficiers</t>
  </si>
  <si>
    <t>The service is very reliable. I value that and recommend that to someone else.</t>
  </si>
  <si>
    <t>reliability   service professionalism   customer interface</t>
  </si>
  <si>
    <t>access to trading personel   access to estate department personel</t>
  </si>
  <si>
    <t>A good experience with NBIN. I very often know the people I am working with. I have some control and say in how things are done for my clients. I trust them.</t>
  </si>
  <si>
    <t>consistency   accountability   Willingness to help us solve problems.</t>
  </si>
  <si>
    <t>The technology stack   Investing in the next layer of employees who have contact with firms directly.   Getting better matched at new issues in stocks and fixed income.</t>
  </si>
  <si>
    <t>I don't think their monthly reporting is clear or easy to understand.</t>
  </si>
  <si>
    <t>I think NBIN has the most comprehensive custodian services available, with the best online tools at this point. Generally, I found NBIN shows a willingness to work with us if we have issues or if we need something different than their current offering.</t>
  </si>
  <si>
    <t>I think they have the most comprehensive package or offering for custodial services.   They seem to genuinely want to help find solutions for our firm or for our end clients.   The quality of the responses or the information is typically very good.</t>
  </si>
  <si>
    <t>Sometimes, their response time can be really slow.   With some things, particularly related to estates, they can be quite inflexible.   Sometimes, it's really unclear which department we should be reaching out to.</t>
  </si>
  <si>
    <t>NBIN, they're good at the custodial, but getting assistance from the back office is very difficult. No one is available most of the time and if they do get back to you it takes days to get back to you. They've recently had the extreme line services. Different teams do different services, its worse, its supposed to have gotten better, but its gotten worse. It takes three days to a week to get back to us.</t>
  </si>
  <si>
    <t>They're good with the online services provided to clients.   Accuracy, they don't usually have allot of mistakes.</t>
  </si>
  <si>
    <t>The client services department- being able to reach  people when we need assistance.   Being able to get services quicker, like within the same day. Being able to reach someone the same day.   When we do get assistance , the staff needs to be more knowledgeable.</t>
  </si>
  <si>
    <t>The offering is superior and and far more intuitive.</t>
  </si>
  <si>
    <t>It is based on the quality of initial response we get to requests. Which ties into NBIN being proactive, finding solutions and so forth.</t>
  </si>
  <si>
    <t>I appreciate the brokerage/custody service. and the quality of the fund and trading team. I like Mathew Pollick.</t>
  </si>
  <si>
    <t>The trading fund team and their ability to innovate and adapt to the times.</t>
  </si>
  <si>
    <t>The general service team could familiarize themselves with their portfolio management clients.   They have a new system with multi departments. Request get fielded to the departments and as result there is a lot of bouncing around when something falls into a grey zone.   I would encourage them not use chat GTP to respond to emails on delicate issues. A well written Chat response can be frustrating. More direct communication would be preferred.</t>
  </si>
  <si>
    <t>vague slow responses</t>
  </si>
  <si>
    <t>slow responses and delayed solutions</t>
  </si>
  <si>
    <t>clients barely use it - they have other reporting services</t>
  </si>
  <si>
    <t>they are big and okay</t>
  </si>
  <si>
    <t>big friendly care about client   none   none</t>
  </si>
  <si>
    <t>better quality  staff   consistancy of people relationships   faster turnaround</t>
  </si>
  <si>
    <t>The servicing tool is good. The onbroad tool - I'm not a fan of. We have to use a third part app CRESIS (sp?) and I'm not a fan of it. We up doing our own tax documents - which other custodians provide and it leads to omissions. We have to download documents. NBIN is more of a self service custodian. We have to do everything ourselves.</t>
  </si>
  <si>
    <t>No</t>
  </si>
  <si>
    <t>The servicing is a good program/application - I'd probably give that an 8 or 9. I do not like onboarding app and would probably give that a 4. I'd probably give their ability to reach out to people a 2. So it comes out to a 6 overall.</t>
  </si>
  <si>
    <t>They are just not the easiest costodians to work with.</t>
  </si>
  <si>
    <t>They have a good interspace for reviewing client accounts.   A good servicing platform.   No others.</t>
  </si>
  <si>
    <t>Bring back account managers, a central point of contact.   Full tax packages   They rely to heavily on systems and they do not have people to reach out to, this where they fall short in comparison to other custodians.</t>
  </si>
  <si>
    <t>The transfer request on their end did not have right coding. They are not following up quickly on rejections.</t>
  </si>
  <si>
    <t>Because we are already using them and have a previous relationship. This would help in recommending them to other people.</t>
  </si>
  <si>
    <t>They are acting as custodian for our clients.</t>
  </si>
  <si>
    <t>Communication   Getting me to a specific person to answer the question I have. The answers are too general. Many times the person does not have answer. It is taking too long to get the answers I need. Getting ahold of them when takes too long. They do not respond to my emails quickly.</t>
  </si>
  <si>
    <t>Nothing specific, there is no perfect score for me.</t>
  </si>
  <si>
    <t>The platform in NetRep.   IMOST platform.</t>
  </si>
  <si>
    <t>None that I could think of at the moment.</t>
  </si>
  <si>
    <t>Some of it is dated. When they update or make changes it is rare that their isn't an issue. Some of the offerings are manual and not automated such as FHSA.</t>
  </si>
  <si>
    <t>Lack of knowledge and inconsistency in responses and requirements.</t>
  </si>
  <si>
    <t>The competition is catching up with better technolgy offerings and quicker in terms customer requirements. Some other firms have better ability to make us look better.</t>
  </si>
  <si>
    <t>Their supportive community and getting out here and being present.   Communication to the firm has been increasing.   They are open to making changes to their organizational structure to make it better.</t>
  </si>
  <si>
    <t>Finding a way for staff to provide consistent responses.   Improvements to technology for better automation and  better and more automation.   Quicker turn around times in terms of servicing.</t>
  </si>
  <si>
    <t>Lack of timeliness, response and information</t>
  </si>
  <si>
    <t>Accuracy and information received. Timeliness of information received. Lack of responsiveness. I have to set a reminder in my calender because they never get back to you. The timeliness in the service level, in turning things around is quite slow. My sense is that the assumption is that you are responsible for following up not the other way around; that they are responsible.</t>
  </si>
  <si>
    <t>Lack of availability of reports.</t>
  </si>
  <si>
    <t>The technology meets the needs but responsiveness, timelines, accuracy, the service customer service is lacking.</t>
  </si>
  <si>
    <t>technology</t>
  </si>
  <si>
    <t>Reduced turn over for staff   Training customer service staff. Sometimes I call and get the wrong answer   Timeliness and responsiveness. The mindset and culture as well; they are not responsive and the timeline. Some understanding that we are working in a second by second environment.</t>
  </si>
  <si>
    <t>In last 12 month estates has been consistenly behind SLA. During first half of fiscal year the service model was indirect therefore hard to communicate with estates. It has improved in 2026 - NBIN has moved to direct service model. However Esates is still consistently behind SLA.</t>
  </si>
  <si>
    <t>They changed models from direct to indirect. Non ATON transfers have been behind the service level agreement. However communication has improved.</t>
  </si>
  <si>
    <t>NBIN is willing to listen to needs of clients however I would not say they are as proactive as they could be.</t>
  </si>
  <si>
    <t>Willingness to listen   mutual fund trading system   people</t>
  </si>
  <si>
    <t>proactivity   more personalized service   timely communication</t>
  </si>
  <si>
    <t>Their technology is easier to navigate. Accessing data is simpler Easier access to client reporting including tax reporting.</t>
  </si>
  <si>
    <t>We have had a number of issues: There have been delays of residual funds. Instances of insurance being accepted incorrectly. Actions taken incorrectly. The general knowledge of the transfer team with understanding the validity of transfer instructions they are receiving.</t>
  </si>
  <si>
    <t>I dont think the do enough for year end reporting, enhanced tax reporting outside of bare minimum as required by the CRA. Other custodians put together a package. NBIN is lacking in this area.</t>
  </si>
  <si>
    <t>They would normally be my go to for a recommendation. But with some of the challenges with transfers and account administration make me hesitant. Otherwise they would be my number one recommendation.</t>
  </si>
  <si>
    <t>cost   technology   relationship</t>
  </si>
  <si>
    <t>transfers   Year end tax packages and reporting   General staffing knowledge and understanding of their relationships</t>
  </si>
  <si>
    <t>Too many clerical data input errors. Sloppy input by the transfers department.</t>
  </si>
  <si>
    <t>Too many clecical error and data input error resulting in too many errors requiring additional time and follow up.</t>
  </si>
  <si>
    <t>There are not alot of other options out there. I am unfamiliar with other offerings. I am not going to put my clients through another conversion.</t>
  </si>
  <si>
    <t>trading services   reporting</t>
  </si>
  <si>
    <t>data input   communication   response time for inquiries</t>
  </si>
  <si>
    <t>Todd. The guy we deal with, he's our VP in charge and we like him very much. He is responsible. Their service team needs some upgrading, they are not as knowledgeable. Todd gets everything done, we like him. We trust him. We never have a singular contact to call for a particular issue, we have to go through various departments. We never get the same person, slow reaction from the client service area is inconsistent.</t>
  </si>
  <si>
    <t>Month end reporting.   Trading.   Trusting Todd.</t>
  </si>
  <si>
    <t>Better compass.   More consistent contact with the service area.   On the trading platform , have bid and ask price.</t>
  </si>
  <si>
    <t>The ease of use of the technology</t>
  </si>
  <si>
    <t>We have had a few issues with incorrect security pricing that led to incorrect values on clients statements</t>
  </si>
  <si>
    <t>My experience overall has been very positive and feel very inclined to give that reference/recommendation</t>
  </si>
  <si>
    <t>technology   Their willing to proactively communicate   Their willingness to search for creative solutions</t>
  </si>
  <si>
    <t>Ensuring that securities pricing is accurate</t>
  </si>
  <si>
    <t>The people I have dealt with are good. The 9's are where I am less satisfied. I am mostly satisfied with the services when I called. The 9 is more because the response was - go look it up on web - which is something I had already done.</t>
  </si>
  <si>
    <t>Mostly, their employees are well trained   When you do need to escalate - the director is fantastic   Communications are good. I feel like they communicate well. Given the massive change in the way they working, they have made it as easy on the client as possible.</t>
  </si>
  <si>
    <t>Being a bit more responsive on emails going into various inboxes. It takes a while and the responses could be quicker.</t>
  </si>
  <si>
    <t>IFM</t>
  </si>
  <si>
    <t>They have generally been quite responsive. When ever I needed something they have generally accomodated what I need. The pricing is competitive.</t>
  </si>
  <si>
    <t>client service   ease of communication and responsiveness   competitive pricing</t>
  </si>
  <si>
    <t>Being flexible and quick when accommodating non-standard requests - meaning moving out of their rigid box.</t>
  </si>
  <si>
    <t>faciliter d'utisation des outils et  navigation intuitive</t>
  </si>
  <si>
    <t>Expertise developper depuis plusieurs annees a servir les gestionnaires independants.Qualite globale du service et l'engagement des employees</t>
  </si>
  <si>
    <t>les solutions technologues   l'offre de service   l'engagement des employees</t>
  </si>
  <si>
    <t>Embauche de personnel   none   none</t>
  </si>
  <si>
    <t>The platform does not connect properly. Tasks are not updated. Bookings and multiple requests and activity are not accepted through Imost. There are constant problems with technical requests.</t>
  </si>
  <si>
    <t>The same errors keep repeating each time for multiple requests.</t>
  </si>
  <si>
    <t>The platforms are very good.</t>
  </si>
  <si>
    <t>There have not been significant technological improvements. The help guide is still not useful.</t>
  </si>
  <si>
    <t>Since they made the changes there is no main contact and it is worse than others. You have to talk to a department instead of a person</t>
  </si>
  <si>
    <t>When you contact a department you are waiting and waiting. You have to follow up they dont come to you. It can take a full day to 2 days to get an answer to ta question.</t>
  </si>
  <si>
    <t>The web site is user friendly</t>
  </si>
  <si>
    <t>The web site</t>
  </si>
  <si>
    <t>Get rid of those departments and give us a client services person to deal with</t>
  </si>
  <si>
    <t>Generally satisfied all around with their services.</t>
  </si>
  <si>
    <t>Their technology.   Entire suite of services.</t>
  </si>
  <si>
    <t>Their ability to contact them, sometimes long delay to reach them.</t>
  </si>
  <si>
    <t>They do not move very quickly, on the whole on issues of handing and wrapping up estates. The information is not consist from case to case.</t>
  </si>
  <si>
    <t>On the whole NBIN is the largest third party custodian. They are a very good operation.</t>
  </si>
  <si>
    <t>The relative ease of getting new clients set up   The relative ease of handling new clients situations   Really good order execution</t>
  </si>
  <si>
    <t>Cleaning up the estates department, which is something I have been saying for some time.</t>
  </si>
  <si>
    <t>There is a very high level of professionalism with the people I deal with at NBIN. However they hace consistently been behind with deliverables especially  when it comes to the deadlines they have established. We have literally joke about this with them and at times just asked for to tell us honestly when it will be available. If we tell our advisors something that is not correct it makes us look bad.</t>
  </si>
  <si>
    <t>The people they hire   The professionalism of the organization and the good people they hire. It is pleasure to deal with with them and they set a high standard in this regard.   They are the devil we know. It would be too complicated to switch.</t>
  </si>
  <si>
    <t>Study and emulate the best custodians in US and what they are doing.   Dramatically improve the support they provide for the UMA platform.   There are still too many operational functions that require 2 steps instead of one. Some of the advisors we recruit tell us that they have worked with other custodians where things can be done in one step. There is uneccessary complexity. We have reccomended this to them.</t>
  </si>
  <si>
    <t>Our clientel are of a high net worth. They are expecting higher level of service and transactions. NBIN is below what they expect for speed and flexibility.</t>
  </si>
  <si>
    <t>They are meeting our needs. Having spoken to colleagues who use other custodians they experience frustrations that are very similar. Yet we also benefit from their scale and brand and being attached to a fixed bank. We sometimes joke that they are the best of the worst. No one expects perfect service. Custodians are not easy service to provide.</t>
  </si>
  <si>
    <t>Communication. They are able to respond but are not perfect. They would do well to get back to us quicker and engage.   Their scale is benefical and being attached to bank with their resources.   They have a lot of consistency in management at the top level and that is something we rely on.</t>
  </si>
  <si>
    <t>Find ways to be more flexible and continue to adapt to our unique needs.   Put our needs first in how to adapt, flexibility.   Creativity. Always looking for ways to adapt our services, bring things to our attention and be more proactive.</t>
  </si>
  <si>
    <t>I think their technology needs improvement. The service has been improving but still needs improvement. This year, there were a lot of challenges with the changes to their service model. I can see improvements but they are not there yet.</t>
  </si>
  <si>
    <t>More knowledgable staff   Improvements in technology.   Promptness in getting back to us.</t>
  </si>
  <si>
    <t>They have the actual infrastructure and expertise. They could do a better job in servicing those accounts. They have cut back. When things go sideways it is it is difficult. They need to up their game in servicing. The account managers have a lot on plate and cant service when things go arie.</t>
  </si>
  <si>
    <t>good infrastructure   Reliability. They dont have outages.</t>
  </si>
  <si>
    <t>The account managers need better support. They can answer about 60% but struggle on the remaining 40%.   Pricing value. Given the services that I am asking for, I'm in awe that I am being charged for tiny bits of information. I feel like I'm being nicked and dimed, for example the CRM Reports. I'm being charged for information they already have.</t>
  </si>
  <si>
    <t>Le service je peut l'avoire en francais.</t>
  </si>
  <si>
    <t>Le delai pour ouvrir une compte. Trop long, est le temp pour repondre a notre question.</t>
  </si>
  <si>
    <t>Je dirai pour les employee, pour les personnes responsable qui a le coeur a la firme.</t>
  </si>
  <si>
    <t>J'ai rien.</t>
  </si>
  <si>
    <t>Le temps de repondre.   Ameliorer la platforme aussie NetRep.   Amelioration de platformes onboarding de l'integration.</t>
  </si>
  <si>
    <t>When talking about this I'm think of the competition. In the past, I have given praise to NBIN. We just consolidated some business and there has been so much efficiency. There have also been a lot of hiccups, some iss technological glitches, some transfers being posted inccorrectly. There have been distributions being posted incorrectly, payments not going out payments not going out and knowledge gaps in the specialized teams.</t>
  </si>
  <si>
    <t>The self service model.   Reliable escalation contacts.</t>
  </si>
  <si>
    <t>Building knowledge for specialized teams.   Reply to requests within the specified SLA time frame.   Looking into things more deeply; the efficiency of the teams.</t>
  </si>
  <si>
    <t>Some of one like Compass; I'd give a higher number. But others like Net Rep are a little bit behind.</t>
  </si>
  <si>
    <t>The My Portfolio Plus system as well as online system to set up is definitly not user friendly</t>
  </si>
  <si>
    <t>There is definely areas for improvement but when I consider other back office options they definely stand above.</t>
  </si>
  <si>
    <t>The Risk Team; they have good experience and knowledge on that side of the business.</t>
  </si>
  <si>
    <t>Employee retention. You connect with someone and they move on to another role.</t>
  </si>
  <si>
    <t>We've been working with NBIN since 2014. We feel like they provide great value for the cost, and we will definitely continue working with them.</t>
  </si>
  <si>
    <t>Investment in technology.   Great client service.   Great brokerage services.</t>
  </si>
  <si>
    <t>Simplify how to contact the client services team.   Better training for the specialist teams.</t>
  </si>
  <si>
    <t>They are nothing special but adequate. Often times, getting clients set up with online access is difficult for the clients and inconvenient for us.</t>
  </si>
  <si>
    <t>Bad service, bad responsiveness and lots of errors.</t>
  </si>
  <si>
    <t>Better responsiveness   Better knowledge on the part of frontline people   Lower error rates</t>
  </si>
  <si>
    <t>A lot other custodians utilize email to request transfers and to set up new accounts. NBIN is more self serve.</t>
  </si>
  <si>
    <t>Lack of communication and lack of urgency. Delays in processing, receiving corespondence and answering questions.</t>
  </si>
  <si>
    <t>technology   client reporting   knowledge</t>
  </si>
  <si>
    <t>prompt email responses responses   Limiting delays   Being timely</t>
  </si>
  <si>
    <t>It seems like poor roll out of multiple systems. I dont know why you need so many systems doing same thing. A lack of accommodation for certain situations</t>
  </si>
  <si>
    <t>The process flow design with other custodians is much better - an all in one system ID.</t>
  </si>
  <si>
    <t>They did not exceed my expectations and did not agravate. Five is a good mid way mark</t>
  </si>
  <si>
    <t>They like to deny responsibility for making mistakes. The new service is going downhill. There is a lack of accountability.</t>
  </si>
  <si>
    <t>Data feed through FSTP.   Ease of use of Netrep</t>
  </si>
  <si>
    <t>service   accountability   system upgrade</t>
  </si>
  <si>
    <t>Their custodial business works well for us and we would expect it to work well for others. It integrated well with our portfolio management system.</t>
  </si>
  <si>
    <t>They are proactive in the business.   They are willing to engage with us as the client   They are knowledgeable and effective in administration and trading</t>
  </si>
  <si>
    <t>keep forging ahead</t>
  </si>
  <si>
    <t>It was a complicated transfer and didn't advise us of how to proceed. There was constantly wrong guidance and kind of being thrown form this group to that group.  It resulted in it taking a long time in redoing many aspects of it.</t>
  </si>
  <si>
    <t>I think overall the services are very useful, despite minor annoyances. The different portals and stuff work well.</t>
  </si>
  <si>
    <t>I think their Netrep platform works well.   I think ultimately when there's issues, NBIN service team will go the extra mile to help resolve them.   I think the trade desk is very responsive and very helpful.</t>
  </si>
  <si>
    <t>I think their bond desk could be improved.  EX: their ability to bid and offer on quote requests.   The new Compass is fairly annoying that you have to log into multiple things, the rollout seems very long and doesn't seem to work that well.</t>
  </si>
  <si>
    <t>Because they have different platforms that satisfy different needs, you cant compare fully. As a custodian they are very similiar in terms of their statements and electronic access.</t>
  </si>
  <si>
    <t>As a PM they have extensive background and knowledge base. They know our business. For our kind of business it would be difficult to compete without them.</t>
  </si>
  <si>
    <t>They are owned by bank which makes it easier on custodians.   They are proactive in trying to improve service.   They care about their clients</t>
  </si>
  <si>
    <t>Try not to have so much turn over in staff</t>
  </si>
  <si>
    <t>The estates that we were trying to settle took an enormous amount of time and at one point we were told the estates department was forty five days behind.</t>
  </si>
  <si>
    <t>There's not allot of choices.</t>
  </si>
  <si>
    <t>The name,  their a Canadian Bank. Investors have comfort in that.</t>
  </si>
  <si>
    <t>Get people that are  more knowledgeable of what they do.   Have a dedicated person who looks after each individual dealer.   Have better contact, its all email electronic, have better voice contact.</t>
  </si>
  <si>
    <t>They are a large player in the industry. They are well respected and well connected to other software tools.</t>
  </si>
  <si>
    <t>scale   The willingness of the account manager and more senior representatives to assist firms.   Their focus on supporting the independent wealth mangagement space</t>
  </si>
  <si>
    <t>Their new service model is very challenging for clients, it is poor with slow response.   High trading fees   They are slow to improve their technology</t>
  </si>
  <si>
    <t>I deal with escalations for transfers and lots of times it takes  an extremely long to get results or we need to send the information more than once. Sometimes transfer follows are  not done on time or escalations are not done properly.</t>
  </si>
  <si>
    <t>There's been some recent changes within their service model and we've been struggling to get proper and timely responses. The knowledge we receive compared to when we were serviced by one individual has shifted drastically</t>
  </si>
  <si>
    <t>They are friendly   Understanding   none</t>
  </si>
  <si>
    <t>Retaining knowledgeable staff   Proper training amongst teams - so they are all on the same page - to avoid discrepancies.   Better response time to enquiries, emails and resolving issues</t>
  </si>
  <si>
    <t>The research platform awful. It is hard to find something. It is antiquated looks like something from 2015. It is cr**. NetRep is pretty old too. It is not as functional as it could be. There is a  lot of room for improvement in comparisson to other custodial platforms.</t>
  </si>
  <si>
    <t>There is no central blotter. You have to go account by account unless you are uploading trades. You cant buy or sell bonds on the system. These are basic things.</t>
  </si>
  <si>
    <t>The platform is pretty good, need modernization and to be more secure. Some of the people in back office - it takes while to get an answer. There have been circumstatnces where we were not satisfied with national bank's solutions.</t>
  </si>
  <si>
    <t>The self serve platform is handy for cash transfers - really good.   The Effects platform is pretty good   The Bondess plaform service is pretty good.</t>
  </si>
  <si>
    <t>Improve the Trading platform   Improve the back office services and timeliness   Improve nuances for non resident accounts</t>
  </si>
  <si>
    <t>It is a more expensive service than alternatives in the market</t>
  </si>
  <si>
    <t>The technology - it is very outdated and need to do something about it   Technology integration with 3rd party applications.</t>
  </si>
  <si>
    <t>With the new service model, response times are much longer and there is definetly room for improvement. There is a lot of new staff and it may be training related.</t>
  </si>
  <si>
    <t>client focused   They provide alternative solutions - which I like.   Make a sincere effort to improve services and deal promptly with escalations.</t>
  </si>
  <si>
    <t>Look at staffing. They always seem to be behind. It may be seasonal but we are noticing it quite a bit at the moment.</t>
  </si>
  <si>
    <t>Taking longer to complete things. Before it was 2-3 business days now it is taking weeks.</t>
  </si>
  <si>
    <t>Lately the service has been bad. SLA times have been bad.</t>
  </si>
  <si>
    <t>They are accomodating   They do get back to you pretty quickly.   Nice staff</t>
  </si>
  <si>
    <t>Better SLA   Better at listening to our concerns and fixing them.   Cheaper trading pricing.</t>
  </si>
  <si>
    <t>Les délais, les temps de traitement et de réponse. La fréquence des réponses aux questions qu'on nous fait qui sont inappropriées dans le dossier précis. Des questions déjà répondues dans le texte précédent ou qui ne concernent pas du tout le dossier précis en question. Le système de communication entre nous et le département, i.e COMPASS, qui nous empêche de communiquer, beaucoup de barrières à la communication. Erreurs multiples dans les feuillets fiscaux.</t>
  </si>
  <si>
    <t>Les délais de suivi entre les départements de transferts des institutions.</t>
  </si>
  <si>
    <t>Les délais de réponse, les questions posées dont la réponse est déjà incluse dans les communications précédentes, la difficulté à faire un suivi sur un dossier qui n'a pas encore été pris en charge(en lien avec le fait que notre suivi se retrouve encore en fin de ligne). L'absence de prise en charge d'un dossier déjà en cours lorsque la personne est absente.</t>
  </si>
  <si>
    <t>J'apprécie le désir de BNRI de fournir les outils nécessaires pour nous aider dans nos tâches quotidiennes, et à évoluer. Le manque constant de personnel rend notre quotidien et notre engagement envers nos clients un défi constant.</t>
  </si>
  <si>
    <t>Le désir de nous accompagner.   Mise en place de plateformes pour nous assister.   Certaines personnes sont prêtes à nous assister en cas de besoin.</t>
  </si>
  <si>
    <t>Avoir du personnel suffisant et qualifié.   Le système de gestion des comptes enregistrés (paiements).</t>
  </si>
  <si>
    <t>There have been a lot of issues lately. Which when the system is down it is usually after some type of update.  Usually we inform NBIN before they send something out.</t>
  </si>
  <si>
    <t>Although estates has improved there is still work that needs to get done. It is taking longer and longer to issue tax slips for estates and not having the appropriate notes.</t>
  </si>
  <si>
    <t>Although we input our own transfers, when there is an issue it is taking longer and longer. It can go on for a couple of weeks to a month. We had a client where it took 3 months to get a transfer done. We had to get the tansfer faxed and it was done on legal size paper instead of letter size.</t>
  </si>
  <si>
    <t>We use onboarding to onboard administration. When NBIN makes errors it takes a while to get fixed and updated appropriately.</t>
  </si>
  <si>
    <t>There have been a lot of technical issues lately, which sometimes causes reports to be delayed or not totally accurate which then causes issues in our business.</t>
  </si>
  <si>
    <t>I'm not sure what other brokers there are out there. But  due to some issues we have experience lately it was more of a 7.</t>
  </si>
  <si>
    <t>The ability to view our clients online.   The Accounting department   The ability for us to upload management fees</t>
  </si>
  <si>
    <t>Their new email system   Their response time in getting back to us   Their technology</t>
  </si>
  <si>
    <t>The extreme variability of the service. If the request is received in one persons inbox the service is great but another person might be significantly worse.</t>
  </si>
  <si>
    <t>The service is very well tailored to the  needs of independent investment council.</t>
  </si>
  <si>
    <t>Procedures.   Trading.</t>
  </si>
  <si>
    <t>Better communication on service team reorganizations.   More uniform service delivery levels.</t>
  </si>
  <si>
    <t>I guess its just the overall experience. It could be better, but thank god its not worse.</t>
  </si>
  <si>
    <t>The account managers.Having a relationship with account managers.</t>
  </si>
  <si>
    <t>I would love to see a more immediate response, Ex: not like in an hour, like twenty four hours from emails, I am not getting.</t>
  </si>
  <si>
    <t>Les délais sont long(ex: 3 heures) pour répondre à nos questions, et il y souvent des problèmes à parler a la bonne personne afin de régler les problèmes, ou changer un mot de passe.</t>
  </si>
  <si>
    <t>Car il y a d'autres alternatives sur le marché, et quand on recommande quelque chose, on veut avoir plusieurs options, mais on mettrait quand même BNRI.</t>
  </si>
  <si>
    <t>La réputation de Banque Nationale.   La taille de cette entreprise, i.e. BNRI.   Banque Québecoise.</t>
  </si>
  <si>
    <t>Avoir une application pour que les clients puissent se connecter, et pas seulement un site web.   Améliorer les délais d'attentes pour tout ce qui est administration, i.e. les transferts, etc.</t>
  </si>
  <si>
    <t>Inaccuracy of advice.</t>
  </si>
  <si>
    <t>Our overall experience with NBIN.</t>
  </si>
  <si>
    <t>Trading.   Senior Management response.   Industry expertise.</t>
  </si>
  <si>
    <t>Response times.</t>
  </si>
  <si>
    <t>The quality of responses and timeliness of them.Recent  changes to their service model means the SLA is  much slower than previously. It sounds like there are alot of new team members and they struggle with understanding our line of business.</t>
  </si>
  <si>
    <t>Very personable and easy to talk to.   Specific individuals are easy to contact to ask questions and are  quite knowledgeable.   Senior people I deal with always try their best and try to solve any  issue we have.</t>
  </si>
  <si>
    <t>Improve turn around time.   Improve transfer platforms.   Improve SLA and turn around times for openings.</t>
  </si>
  <si>
    <t>Outdated look and feel.</t>
  </si>
  <si>
    <t>There's very little competition in Canada, and that reflects in the service we get.</t>
  </si>
  <si>
    <t>They are opened to creative ideas.   They can be flexible in their approach.   Although they are a bank, they are stil entrepreneurial.</t>
  </si>
  <si>
    <t>A modernized offering.   More urgency to solve problems.   Being more mindful of communicating changes to their clients.</t>
  </si>
  <si>
    <t>L'interface pour naviguer est plus facile.</t>
  </si>
  <si>
    <t>La capacité d'offrir le service de garde, ou de fiduciaire, avec le service transactionnel.</t>
  </si>
  <si>
    <t>Plateforme intégrée.   Proximité.</t>
  </si>
  <si>
    <t>L'intégration de leurs systèmes.</t>
  </si>
  <si>
    <t>I would say trading platform is antiquated.</t>
  </si>
  <si>
    <t>I'd say statements are confusing for clients.</t>
  </si>
  <si>
    <t>Scale of platform and market share.</t>
  </si>
  <si>
    <t>Scale of operations.   Permanency of operations.   Brand name.</t>
  </si>
  <si>
    <t>Improve technology.   Improve customer orientation.   Improve timeliness of responses.</t>
  </si>
  <si>
    <t>there 2 systems we have to navigate - old compass and new compass - and the systems are too rigid</t>
  </si>
  <si>
    <t>It takes a long time for the Estate department to process  settlements and required documents not clearly stated before - which requires us to go to the clients several times</t>
  </si>
  <si>
    <t>its difficult to get in contact with anybody and reply times are too long</t>
  </si>
  <si>
    <t>nbin has changed their service platform and it has made it more difficult to interact with them</t>
  </si>
  <si>
    <t>they have a good trading desk   helpfull in complaince matters   proactive in the crs fatca requierements</t>
  </si>
  <si>
    <t>the client service - new system is difficult to work with and lead times has doubled or tripled it doesnt feel like there anybody supporting us   The communication between the approval department  and our firm when Imost requests are rejected - we dont receive  timely notification   none</t>
  </si>
  <si>
    <t>The new Compass is a nightmare to get back on forth and navigate. Their systems are archaic.</t>
  </si>
  <si>
    <t>They don't let you talk directly to the estate team. You dont know what is going on and have to go through a middle man.</t>
  </si>
  <si>
    <t>You dont know to talk to. There is not a lot of clarity. Cant monitor the transfer and there is not a lot of information.</t>
  </si>
  <si>
    <t>The flow of  feedback. You dont get an email back and it is hard to talk to right person.</t>
  </si>
  <si>
    <t>We don't really use it</t>
  </si>
  <si>
    <t>I am familiar with other custodians and they are a lot better.</t>
  </si>
  <si>
    <t>The fixed income team   trading</t>
  </si>
  <si>
    <t>Better assistance for portfolio managers   Better transfer process that is quicker.   Turn around</t>
  </si>
  <si>
    <t>I find they have more wider services available and the services that they do offer, they tend to go deeper with. One of the biggest thing is we have a very good relationship manager Todd Brennand.</t>
  </si>
  <si>
    <t>Just been a good experience.</t>
  </si>
  <si>
    <t>I'd say strength of the team.   Strength of technology.   Strength of platform.</t>
  </si>
  <si>
    <t>Lower commission rates.</t>
  </si>
  <si>
    <t>Its hard to say NBIN does exactly what we need it to do, however there are some services that could be a little higher professional. In just day to day service between our team and getting in contact with NBIN its not easy. As a whole, we are satisfied, there is no major issues to flag.</t>
  </si>
  <si>
    <t>I do think your transfers department is pretty good.   Dealing with FX team.   I think the Compass transition once in full effect its already been allot better.</t>
  </si>
  <si>
    <t>I think the new service model can use improvement.   Onboarding- the process, the documentation has not really changed and the technology around it has not been improved in quite some time, we would like to see bigger technology presence with the Onboarding.   Probably  - ex: we did deal with an estate settlement and it was my first experience with it and it was good but not great.</t>
  </si>
  <si>
    <t>The technology is functional but it is old and in need of updating</t>
  </si>
  <si>
    <t>Other custodian is more rigid in their  application of rules but their technology is more sofisticated . NBIN is more flexible in  attempting to achieve the desired outcome but they are sometimes compremised by their outdated technology</t>
  </si>
  <si>
    <t>The tranfers department experiences frequent human error</t>
  </si>
  <si>
    <t>There is nothing exceptional about the service</t>
  </si>
  <si>
    <t>While there are pain points NBIN tries hard to get the job done</t>
  </si>
  <si>
    <t>reasonable flexibility   commitment to attempting to solve problems   addaquate funtionality</t>
  </si>
  <si>
    <t>technology stack   communication takes time and is rushed and not clear   fewer uncessary fees</t>
  </si>
  <si>
    <t>NBIN used to deliver top notch service across all departments. That is no longer the case. There are still a number of individuals that provide excellent service.</t>
  </si>
  <si>
    <t>A faster turn around and response times. Typically it can take them 4 days to receive a  response to an inquiry.   A greater focus on relationship building.   Enhanced training for some staff</t>
  </si>
  <si>
    <t>The platform is easy to use. There have been very little issues. The onboarding has gotten easier. I hear good things from clients. clients have also mentioned that a phone app would be good.</t>
  </si>
  <si>
    <t>All custodians are antiquated. There are communication issues, delays. There have been difficulties with NBIN; transfers in and out have been chaoitic.</t>
  </si>
  <si>
    <t>Communication has deteriorated greatly. We used to have daily contact and a rep who could escalate things if needed. The personal touch has been lost. Responses from the teams have been robotic. With opening new accounts and processing money there have been more mistake and less person contact.</t>
  </si>
  <si>
    <t>They have invested in new technology.   I know they are looking at and are interested in improving and technology.   We are not really that satisfied so it is hard to tell.</t>
  </si>
  <si>
    <t>Communication   Training of staff   Transfers</t>
  </si>
  <si>
    <t>I'm gonna say response faster and willing to go the extra mile.</t>
  </si>
  <si>
    <t>The estate department needs help, response time is slow and working with them is difficult.</t>
  </si>
  <si>
    <t>Generally happy with the services that we get from NBIN.</t>
  </si>
  <si>
    <t>Response time.   Willingness to be flexible.   Thinking outside of the box.</t>
  </si>
  <si>
    <t>I know we've had some problems with the estate department.</t>
  </si>
  <si>
    <t>I think it was just the amount of time it took them to get back to me on situational complexity of the case.</t>
  </si>
  <si>
    <t>I think overall NBIN is efficient with their services, overall they are responsive and i feel like their assistance in technical services that they provide are pretty good and are a good competition out there. I would say they're on par with other industry custodians</t>
  </si>
  <si>
    <t>I think their technology. Types of service platforms   Their client service model.   Their expertise in the registered accounts.</t>
  </si>
  <si>
    <t>I think just their delivery of response time.   Just perhaps being more active over the phone as oppose to email.   Just easily being able to deal with the specialized department, ex the transfer department i could get a direct number to contact and speak to a specialist directly, which will enhance and improve timeline for delivery and responses and the estate department as an example to.</t>
  </si>
  <si>
    <t>Very bad responsiveness. I has never been great but in the last few months it has become progressively worse. The rejection emails are not coming through and we have to chase them down. By time they respond things may have resolved themselves via other means.</t>
  </si>
  <si>
    <t>In the last 4 months, the service level dropped off drastically. Since they made recent changes there is  still an issue with consistency with all staff regarding proceedures.</t>
  </si>
  <si>
    <t>history   knowledge   A good foundational base of technology</t>
  </si>
  <si>
    <t>The service levels. They did not adequately cross train all staff before they mad their changes. We get different answers from different staff.</t>
  </si>
  <si>
    <t>The interface is rather old. It does not compare to other technologies in place. Error checking and the screen fonts are difficult to read. The interfaces could us improved. The redevelopment of Compass is very, very slow for the improvements they are putting in place. It is more difficult to control access to certain employees for compliance related. They have been dis-improvements from compliance functionality point of view.</t>
  </si>
  <si>
    <t>One of the custodians technical in6terface, it is a total package solution, is easily integrated and fast. The other custodians technology is older and clunky.</t>
  </si>
  <si>
    <t>It is slow and tedious.</t>
  </si>
  <si>
    <t>Transfers on average get rejected for various reasons despite our best attempt to do everything properly. They are slow to get back to us. By the time they do there are errors again and it is very frustrating. There is no problem getting transfers out but we have to make 2 or 3 attempts to get transfers in.</t>
  </si>
  <si>
    <t>NBIN charges a premium price but we are not getting premium value. Other custodians are less costly and provide better or equivilant service.</t>
  </si>
  <si>
    <t>Getting their technology platform significantly improved.   Faster turn around times for for service requests.   Better client interfacing.</t>
  </si>
  <si>
    <t>I feel that the back office staff could use some improvement with the  speed of their communications. I do feel that any time I escalate an issue- its been dealt with promptly.</t>
  </si>
  <si>
    <t>Their private placements departments are the best - they do a good job dealing with us and  they guide us through the process.   The account transfer department-they deal with transfers on a very good basis - very quickly   I really appreciate our relationship with Matthew Pollock he is a pleasure to work with and he deals with issues immediately</t>
  </si>
  <si>
    <t>The NBIN general box - it takes a long time to get a response   I feel like some of their systems like account openings could be easier   none</t>
  </si>
  <si>
    <t>Some of the programs does not accept e-sign documents. We have to spend a lot time converting and it is frustrating. The transfers department is a wreck</t>
  </si>
  <si>
    <t>It has just been really bad. It has taken way longer. In one instance it took weeks to correct and when corrected was wrong. There is no accountabilit.</t>
  </si>
  <si>
    <t>The encompssing process - they need to find a way to make less cumbersome</t>
  </si>
  <si>
    <t>Things like altcash - we cant get it in bulk and this makes it hard to provide to clients</t>
  </si>
  <si>
    <t>I dont know the other competition so cant make comparrison</t>
  </si>
  <si>
    <t>Taking care of money   trading   registered account mangement</t>
  </si>
  <si>
    <t>transfers   estates   onboarding</t>
  </si>
  <si>
    <t>Lack of consistency. Staff turn over. Failure to get back in a timely manner. Elevating issues doesnt seem to help.</t>
  </si>
  <si>
    <t>Breath of coverage of products.   Senior client service provider is great.   Partnership</t>
  </si>
  <si>
    <t>Consistency of administrative function   Having more interaction with staff.   The technology needs to be accelerated</t>
  </si>
  <si>
    <t>There's  been a few IT failures. Systems are very outdated.</t>
  </si>
  <si>
    <t>Just very outdated reporting services. Lack of customization.</t>
  </si>
  <si>
    <t>Just some service issues and I think a lack of investment on the technology side.</t>
  </si>
  <si>
    <t>Reputable backed by large bank.   Customer service by account managers.   Stable platform.</t>
  </si>
  <si>
    <t>More investment in technology.   Better client reporting on service requests.</t>
  </si>
  <si>
    <t>We would like the rating to higher because of the  knowledge on estates is not being used for its maximum consent.</t>
  </si>
  <si>
    <t>Improvement in estate work   On-time projects</t>
  </si>
  <si>
    <t>The length of delays. Unclear instructions. Changing instruct. Difficulties in reaching somebody to get an answer.</t>
  </si>
  <si>
    <t>They are honest. They are striving to do the best they can. They are generally knowledgeable. They provide a range of services that a firm such as ours needs.</t>
  </si>
  <si>
    <t>A complete range of services.   Their team is reasonable to deal with.   It may take them a while but they do get the job done.</t>
  </si>
  <si>
    <t>The estate department. It is getting better but it is not there yet.   Reduce the fees they charge.   Continue to improve the knowledge of front line personell.</t>
  </si>
  <si>
    <t>Its better than it used to be but still not integrated in a way thats very functional for us.</t>
  </si>
  <si>
    <t>Just very slow and its very procedurely not. Not made easy, theres a pushback, its not like their trying to help, its like theyre trying to push back.</t>
  </si>
  <si>
    <t>The reporting is  very standard, theres nothing great about it.</t>
  </si>
  <si>
    <t>There aren't a ton of options for independent asset management, for custody services, like NBIN is the only one, recommended by default.</t>
  </si>
  <si>
    <t>The size of their organization.   I would hope the scale of the organization.   Technology.</t>
  </si>
  <si>
    <t>Integrating technology in a way that is focused on the client being the asset manager not the end client.   Integrating the NBIN organization within the larger banks, as it relates to banks and investment research .   Just better client service, either more people or more effective people so things don't take as long.</t>
  </si>
  <si>
    <t>The technology systems being down. Ease of access.</t>
  </si>
  <si>
    <t>Wait times for processing estates. Wait times for follow ups.</t>
  </si>
  <si>
    <t>Just the overall service we receive from there has declined over the last year. Although they have presented new initiatives such as department dividing. Dividing the departments and access to transfers, estates and account administration, there seems to be a lack of knowledge in those departments.</t>
  </si>
  <si>
    <t>Recognition of a bank being behind them.   Reputation.   Their Risk and Regulatory department.</t>
  </si>
  <si>
    <t>Knowledgeable trained staff.   Follow up times.   Acknowledgement of our requests in a timely fashion.</t>
  </si>
  <si>
    <t>There is not a timeliness of response. The are slow and there is a lack of knowledge.</t>
  </si>
  <si>
    <t>They are adequate but not exceptional.</t>
  </si>
  <si>
    <t>Very little support or interest. We are not a big firm and they are not attentive to our needs.</t>
  </si>
  <si>
    <t>magnitude   They are Canadian   Their location</t>
  </si>
  <si>
    <t>customer service   Knowledge. Their asset class knowledge is lacking.   Their technology is not great.</t>
  </si>
  <si>
    <t>Their online platform</t>
  </si>
  <si>
    <t>A recent estate settlement where there were delays and communication was far inbetween.</t>
  </si>
  <si>
    <t>There have been longer delay in the last 12 months. It is harder to get a hold of the right person</t>
  </si>
  <si>
    <t>Comparing with other custodians, their statements have work to do to improve the overall look and feel of statement.</t>
  </si>
  <si>
    <t>Upper management has an entreprenerial spirit that manages well with independents like our firm.</t>
  </si>
  <si>
    <t>They cater to independent firms like us   A willingness to listen and accomodate   The Transfer department</t>
  </si>
  <si>
    <t>A dedicated point person for our administration team versus various departments.   Improve turn around time on quiries   Statement reporting</t>
  </si>
  <si>
    <t>Parce que je croix c'est un decison complex. Claire de considerer une decision qui est propre a chacun des fermes, suppose elle meme les questions de tout les companies existe.</t>
  </si>
  <si>
    <t>D'avoire comme clientelle principal, les gestionaire independants.   Etre une division de la Banque Nationale de Canada.   D'avoire une presence importante aux Quebec.</t>
  </si>
  <si>
    <t>La rapiditer de reponses.   Faciliter a correspondant avec les techniciens ou les gents de NBIN.   Augmenter les niveaux technologique de services.</t>
  </si>
  <si>
    <t>When sending email to the team we had to follow to get answers. We are not getting replies within a 48 hour time frame. My requests and submitting information do not seem to be looked at or addressed with 48 hours.</t>
  </si>
  <si>
    <t>The Transfers department is not following up on submtted transfers or giving reasons for the delay.</t>
  </si>
  <si>
    <t>We are not getting responses within 48 hours and following up constantly. There is not a thorough reading questions and getting answers for part of the question.</t>
  </si>
  <si>
    <t>Working with client accounts can be frustrating due to long turn around time for responses.</t>
  </si>
  <si>
    <t>The responses from managers/team leaders when you escalate.   client staemnt and reporting   General professionalism when speaking with NBIN people.</t>
  </si>
  <si>
    <t>response time   attention to detail regarding inquiries sent and urgency</t>
  </si>
  <si>
    <t>Lack of action and lack of follow-up. Lack of communication with the advisor team.</t>
  </si>
  <si>
    <t>They've been fairly prompt. Whenever we reach out to fix any issues, they do address them. I feel like they've been doing fairly well with it.</t>
  </si>
  <si>
    <t>Lack of performance data and no multi-factor authentication. These two issues are very commonly experienced for our clients. There's no ability for two-way document sharing, so clients cannot upload documents to the portal for us to see them.</t>
  </si>
  <si>
    <t>Staff I've worked with at NBIN are very knowledgeable and very helpful. There seems to be some departments, such as transfers, that diminish their offering a bit.</t>
  </si>
  <si>
    <t>The people that work there. There are good relationships, and they are really helpful.   The tools they're rolling out seem to be really good.   The communication with staff there is really good. Internal feedback from most staff is usually really helpful and good.</t>
  </si>
  <si>
    <t>The transfer process of external assets.   The online portal could be modernized.</t>
  </si>
  <si>
    <t>They no longer have a centralized customer service email and you must send it to right group. But there is no way to find out who that is. It can take 4-6 weeks to get something adressed.</t>
  </si>
  <si>
    <t>Their technology platform is very good, very comprehensive and well thought out. There customer service leaves a lot to be desired.</t>
  </si>
  <si>
    <t>Their block trading desk is very good.   Net Rep is good   Their subscription research service is very good.</t>
  </si>
  <si>
    <t>Customer services needs a lot of work.   A centalized email box for general inquiries.   They need to be more prompt in email replies. It is not good enough in retail space.</t>
  </si>
  <si>
    <t>Onboarding in particular- its tedious and it takes too long to get feedback when things have been done incorrectly. new compass tools are untuitive . Pulling information from NetRep is time consuming</t>
  </si>
  <si>
    <t>Similar to what was said in last Question - generally can be inefficient  at times</t>
  </si>
  <si>
    <t>tax reporting is long the files are diffuclt to acces in bulk stamrnts are inconsistant with what accountants often require and the online portal is difficult to set up and acess for some clients</t>
  </si>
  <si>
    <t>Not familiar enough with other providers</t>
  </si>
  <si>
    <t>Trading platform is good   support team is responsive   the brand reputation is reliable  - they have a good reputation</t>
  </si>
  <si>
    <t>more streamlined on boarding processes would be good   more intuitive  tools to support portfolio managers   deepening relationships with primary points of contact</t>
  </si>
  <si>
    <t>Acessing the tool and it is easy to use. Sometimes we dont hear back for weeks or month, Sometimes the responses are not helpful.</t>
  </si>
  <si>
    <t>I wish they were a bit more helpful.</t>
  </si>
  <si>
    <t>Bring back legacy compass.   Communication on transfers between Transfer Department and us.   Improve the distribution lists</t>
  </si>
  <si>
    <t>The roll out of new compass is completely broken. We are constantly having to toggle with the new system and it is a waste of time. The need a more complete roll out rather then a piecemeal approach.</t>
  </si>
  <si>
    <t>We measure the amount of rejections we receive. Sometime back we noticed that NB has started rejecting more. It is taking long times to transfer while we are in a period of market volitility. That harms the clients. The rejection reasons are not instructive on how to resolve issues. This results in more back and forth for us to determine the reasons.</t>
  </si>
  <si>
    <t>Timeliness to service is fairly slow. Sometimes they dont look at the full questions. This results in longer back and forth. Sometimes there is no reply and we have to follow up to make sure it has been received or that there is a ticket.</t>
  </si>
  <si>
    <t>We are continually locked out. There are changes in process. It is not intuitive and we direct clients not to use it. There have been changes in email and the contact phone numbers. For our older clients that are not digital natives that is an issue.</t>
  </si>
  <si>
    <t>We are out west and are an afterthought to National Bank. The service I would not recommend.</t>
  </si>
  <si>
    <t>More flexibility in how we can trade in the platform and if it was a little more customizable.</t>
  </si>
  <si>
    <t>Their bond inventor lacking   Their settlement fees are quite high   The relationship managers have poor communication. The  roll out of changes has been quite painful to go through.</t>
  </si>
  <si>
    <t>Lots of follow ups.</t>
  </si>
  <si>
    <t>Lots of follow up requests.</t>
  </si>
  <si>
    <t>They dont have a lot of the things we look for. This may be due to our hybrid model set up</t>
  </si>
  <si>
    <t>They are one of the biggest back office solutions. There are not a lot of other options.</t>
  </si>
  <si>
    <t>Lots of different people to answer questions   The escalation contacts are good   I find compliance is pretty good</t>
  </si>
  <si>
    <t>Technology   Response times</t>
  </si>
  <si>
    <t>You need to log into 2 different portals. It is not user friendly. The onboard process is not very good for new accounts.</t>
  </si>
  <si>
    <t>With the other platforms we use, we have an automated reconciliation that feeds into our system. With NBIN. we have to extract and do our own reconciliation process.</t>
  </si>
  <si>
    <t>Today we sent something to NBIN at 12:30 and it has not been acknowledged so far. We have escalated to our own rep within NBIN and he has not heard back to so far. The inner NBIN team has not responded. There is no follow up and no one has responded.</t>
  </si>
  <si>
    <t>We have been trying to update an account and there has been a lot of back and forth. Some information is inaccurate and they keep telling us different information.</t>
  </si>
  <si>
    <t>There was a discrepency on the statement. It has taken a month and has been resolved.</t>
  </si>
  <si>
    <t>The quality of service received is not at par with our own business model.</t>
  </si>
  <si>
    <t>The senior management team.</t>
  </si>
  <si>
    <t>More training   The turn around times need to be quicker.</t>
  </si>
  <si>
    <t>Very poor communication and follow up. They did not adhere to timelines.</t>
  </si>
  <si>
    <t>There is only limited choice of custodians available in Canada. NBIN provides better service. There is only a choice between 2 custodians.</t>
  </si>
  <si>
    <t>Client focused from customer service perspective.   technology   Compliance and regulatory support.</t>
  </si>
  <si>
    <t>Service from the transfers department with respect communication and follow up.</t>
  </si>
  <si>
    <t>response times are too slow</t>
  </si>
  <si>
    <t>too slow and response times are not good</t>
  </si>
  <si>
    <t>They are too slow. There are no real humans to talk to when we try to get things done.</t>
  </si>
  <si>
    <t>They are unresponsive and too slow</t>
  </si>
  <si>
    <t>The web sites</t>
  </si>
  <si>
    <t>transf department   communication   Account opening</t>
  </si>
  <si>
    <t>Theirs been an increase in connectivity errors and not being able to access platforms, especially compass going down.</t>
  </si>
  <si>
    <t>Some of the reports that they provide is on a regular basis are clunky to navigate.</t>
  </si>
  <si>
    <t>Not applicable to the role that I am in.</t>
  </si>
  <si>
    <t>The transfer management platform is very easy to navigate.</t>
  </si>
  <si>
    <t>Going back to a more service focused model instead of what they've recently navigated towards.   Moving to more secure platforms and taking security more seriously with authentication and updating passwords more regularly.   More prompt solutions and fixes to their digital onboarding platform, there has been pending issues and errors in the documentation since launch.</t>
  </si>
  <si>
    <t>The systems are very disjointed. Access management is horrible. Users get access to function they should not. We dont get a clear reporting on who can access and do what. We have spent weeks trying to figure out and it is still unresolved.</t>
  </si>
  <si>
    <t>With other custodians, access is granted function by function. I can go in and see who has access. This is ganular level.  Other custodians provide for multi user functions in that there are two individuals; one who transacts and another that has oversight and provides approval. NBIN has none of that. This is the functioning of the system.</t>
  </si>
  <si>
    <t>The portal and statements are not client centric.</t>
  </si>
  <si>
    <t>Technology. There is better out there particularly with respect to security. The other reason is that it would depend on their needs.</t>
  </si>
  <si>
    <t>our relationship manager   their scale   Their people, the general team.</t>
  </si>
  <si>
    <t>technology   Easier communication or contact methods.</t>
  </si>
  <si>
    <t>The compass experience looks promissing but the fact that we only have a hand full of optimized requests completed limits the impact. Delays to roll outs to enhanced trading solutions continues to impact the firm. Continue to experience high volumes of system outages.</t>
  </si>
  <si>
    <t>Tax slip production this year was not great-delays to production and delivery of T3's was felt across the firm.</t>
  </si>
  <si>
    <t>Challenges within ,improving processes, getting a hold of the right people at the right time, experienced poor communication and poor follow up and a  lack of responsiveness</t>
  </si>
  <si>
    <t>The road map technology looks promissing   none   none</t>
  </si>
  <si>
    <t>They need to reduce manual processes to insure consistancy   Need to improve tax delivery and service channels related to tax delivery   none</t>
  </si>
  <si>
    <t>I have to go to multiple portals to see what clients own in their portfolios. I have to go to another portal to get documents. If a client needs a password reset I am unable to do it and have to get them to call a 1-800 number. I have no contro9l over this and would prefer to do the password reset myself. cash trans f and tecn -nb promises 3 turn around comp next day</t>
  </si>
  <si>
    <t>With other custodians I can get everything I need in one portal. I am able to easily help clients with password resets. If I do it first thing in the morning, a cash transfer to clients sometimes arrives that day.</t>
  </si>
  <si>
    <t>The process is very manual and  not intuitive from a feedback perspective; meaning if it is rejected with NBIN I may not find out for a week or more.</t>
  </si>
  <si>
    <t>NBIN does not have the ability or technology backbone to allow my organization to open an account online and set up a transfer through an automated system. My clients expect faster turn around and accurate documentation. With a manual process the odds of mistakes become much higher. Other custodians allow account opening and account servicing. They allow me to deliver a better experience to my clients.</t>
  </si>
  <si>
    <t>Legacy; they have lots of clients.</t>
  </si>
  <si>
    <t>Invest in technology.   The ability to be flexible with investment firms they work with.   The ability to pay on cash deposits rather than making me invest in a money market fund for free balances.</t>
  </si>
  <si>
    <t>Le service impecable.</t>
  </si>
  <si>
    <t>Implementation.   Cybersecuriter.   Service a la clientelle.</t>
  </si>
  <si>
    <t>Ca serait rapiditer de reglement de transaction.   EX : difficulter a rejoindre l'equipe de reglement.   Je dirai system de suivi de ticket.</t>
  </si>
  <si>
    <t>Car on devient vite indépendant dans les processus, mais une fois qu'on sait comment tout fonctionne, et qu'on a un problème, c'est difficile de rejoindre BNRI.</t>
  </si>
  <si>
    <t>La plateforme technologique de BNRI.   La flexibilité de BNRI, évolution des services et systèmes.   L'équipe de négociation est très solide.</t>
  </si>
  <si>
    <t>Améliorer le service client; les délais de réponse et la qualité des réponses.</t>
  </si>
  <si>
    <t>allot of their technology solutions dont fit with our accounts, some of the processes on IMOST aren't consistent,</t>
  </si>
  <si>
    <t>difficult to understand the transfer system and what to choose and there is a delay in response also the number of days suggested for the expected transfer is typically incorrect and doesn't follow protocol.</t>
  </si>
  <si>
    <t>some reports are not available everyday and allot are delayed</t>
  </si>
  <si>
    <t>Hard to contact, hard to reach, delay in response, difficult to complete process in appropriate timeline.</t>
  </si>
  <si>
    <t>their new issues team   their ability to open accounts   their banking team</t>
  </si>
  <si>
    <t>better communication   prompt responses   trying to find an appropriate solution for the context of the situation</t>
  </si>
  <si>
    <t>There are certain things  such as  tax slip that reflect asset value at time of death. They were unable to provide over several months. It is required reporting but they still were unable to provide the distribution to beneficiary of the estate. It was done incorrectly and we were unable to correct over many months.</t>
  </si>
  <si>
    <t>The speed of service – how quickly they correct mistakes, especially the more complicated ones they tend to be one week to several months to restore or resolve an issue.</t>
  </si>
  <si>
    <t>They are very quick and accurate at executing trades.   We always able to talk to someone.   System is easy to use.</t>
  </si>
  <si>
    <t>Service person we talk to could be more knowledgeable.   For account updates they were not able to enter the information at the first try. We had to send them an email to correct it.   Fast in getiing back service.</t>
  </si>
  <si>
    <t>Overall the service specific to our business; they have been extremely helpful and knowledgeable. If there are issues we can rely on the team, they have been there for a long time. I go to Angelo to resolve things quickly and aleviate any risk to our firm - he is my go to guy. We have a great relationship, have been with them for a very long time and hope to continue.</t>
  </si>
  <si>
    <t>settlements   borrowing and lending   the accounting group</t>
  </si>
  <si>
    <t>More communication when their systems are down, when their are technical issues.</t>
  </si>
  <si>
    <t>Not current with available competitor technology.</t>
  </si>
  <si>
    <t>Timing.</t>
  </si>
  <si>
    <t>Terrible turn around timing. Lack of knowledge of their team in our business. Continual staff turnover.</t>
  </si>
  <si>
    <t>Dissatisfied with the services provided for the price.</t>
  </si>
  <si>
    <t>The reporting piece.</t>
  </si>
  <si>
    <t>Modernized system ability.   They need to reduce fees.   Stronger consistent customer service.</t>
  </si>
  <si>
    <t>Great service but expensive custodial fees and transaction fees.</t>
  </si>
  <si>
    <t>Great technology.   Excellent customer service.   Excellent customer communication.</t>
  </si>
  <si>
    <t>Focus on improving technology.   Consolidating technological platforms.</t>
  </si>
  <si>
    <t>There is often a back log on the estates and it creates extra time. It can be difficult to get straight answer from estates.</t>
  </si>
  <si>
    <t>I dont have experience with other custodians so I cant compare. However, I have seen a lot of progress and improvement in the last 5 years.</t>
  </si>
  <si>
    <t>They employ a lot of people that have expert knowledge in the field.   A desire to improve based on customer feed back   A desire to improve platforms such as Compass and Onboarding</t>
  </si>
  <si>
    <t>Sticking with a standard service turn around time to ensure all employees are responding to emails in that time.   Do a better job doing quick updates. For example, there is one for Onboarding for FHSA's that we have been waiting for one and half years.   Employees not reading entire email and responding. It creates a lot of back and forth</t>
  </si>
  <si>
    <t>They are faster and more responsive to inquires and emails. They are more organized. We have another custodian rolling out new portal - it took a couple of months and was frustrating</t>
  </si>
  <si>
    <t>Any issues or hiccups we have, they are responsive and communicative. They put things out and are proactive.</t>
  </si>
  <si>
    <t>committment   proactiveness   willingness to do better</t>
  </si>
  <si>
    <t>The teams generic email. I do like to triage to. I prefer to have a dedicated person.</t>
  </si>
  <si>
    <t>I'm happy with NBIN but do feel like they are taking away services rather than the services they have historically provided. It is going to wrong direction. There is not a lot of competition and that is part of the problem. Not being able to write 3rd party cheques has a loss.</t>
  </si>
  <si>
    <t>That they exist in the first palace to allow small independant brokers access to a back office.</t>
  </si>
  <si>
    <t>ca fait plus qu'un an que le monsieur est decede et les comptes ne sont pas transferes a sa conjointe et il recoit encore des declarations dimpot a faire</t>
  </si>
  <si>
    <t>une fois sur deux j'ai de la misere avec les transfers- des qu'il y a un pronbleme j'ai de la misere avoir de l'aide</t>
  </si>
  <si>
    <t>Souvent je fait une requete pour l'aide on me revient avec quelque chose de generique - et je cours apres pendant des des mois et  en plus rien n'a ete fait et le client n'est pas satisfait .</t>
  </si>
  <si>
    <t>C'est lourd d'un point de vue administratif</t>
  </si>
  <si>
    <t>Certains staff sont tres bons et si on peut mettre la main  decu ca va tres bien   non   non</t>
  </si>
  <si>
    <t>S'assurer que le probleme du client est regler-une personne par suivi   non   non</t>
  </si>
  <si>
    <t>NBIN is a critical partner in our relationship working together for our clients. They provide smooth and efficient custodial services in doing so. From Patrick as president and on down, the entire NBIN team has a culture of excellence, and they're a pleasure to work with.</t>
  </si>
  <si>
    <t>Culture   Teamwork   Attitude</t>
  </si>
  <si>
    <t>Ongoing training of new team members.</t>
  </si>
  <si>
    <t>It was brought to our attention that the online reporting was inaccurate. This was directly from the clients not NBIN. I would think that if things were working properly, there would be some type of disclaimer on NBIN web site that alerts clients to inaccuracies or potential problems.</t>
  </si>
  <si>
    <t>Regarding the entire package we are very pleased with the work done at NBIN.</t>
  </si>
  <si>
    <t>A sense of partnership in servicing clients.   We have had a lengthly relationship with the team which is important.   There is a good flow of information at senior levels.</t>
  </si>
  <si>
    <t>On the banking side there is an opportunity to assit firms in intergeneral transitioning.   Given that other custodians are pitching themselves as a viable alternative, it would be good to understand how NBIN is positioning themselves to service firms like ours in the medium to long run.</t>
  </si>
  <si>
    <t>If you have the right type of client and the  services fit the clients needs then yes</t>
  </si>
  <si>
    <t>Its specifically delays related to what's called the revoke and appoint process and clients are invested in pool funds at the previous.investment firm</t>
  </si>
  <si>
    <t>They're the larges in Canada. They have the expertise and experience to do the business.</t>
  </si>
  <si>
    <t>Size and scale.   People.   Technology.</t>
  </si>
  <si>
    <t>Nothing comes to mind.</t>
  </si>
  <si>
    <t>It was a transfer out, and it was extremely slow. I found it to be unacceptable for how slow it was, since I thought it was supposed to be done through an automated system.</t>
  </si>
  <si>
    <t>They're the only custodian we have had experience with. In terms of having an overall package, they do a fairly good job. I would certainly suggest them to others, but it is the client's job to do due diligence to end up using them or not.</t>
  </si>
  <si>
    <t>Their overall solutions as a whole package.   Their client portal.   Their onboarding process for new clients.</t>
  </si>
  <si>
    <t>At the security level, their software has a bad habit of going out of balance. It's almost as though I can't rely on their statements for accurate numbers and records that I could then give to clients. It's the book value over time that can change.   The incorrect value will still appear on the tax slip, and will not get updated, which is a major issue as it causes confusion for our clients, and it can also lead to CRA audits.   I don't even know who to escalate this issue to, as NBIN has told us in the past that there's nothing that they can do about the tax slips.</t>
  </si>
  <si>
    <t>In the past 6-12 months accuracy has gone up but delays  in response time remain an issue. I get the impression that they are severely understaffed.</t>
  </si>
  <si>
    <t>Delays in response time from the transfer team. There are scheduled follow ups and we have to follow to find out why they were not completed. This results in back and forth. Also getting accurate information.</t>
  </si>
  <si>
    <t>The recent move to a specialist team model, the teams lacking in every specialty area. They are severely understaff to the point where it has taken 3 days to get a response. They have undertrained staff also issues with the accuracy of information. I have notice this since March.</t>
  </si>
  <si>
    <t>The specialty teams, day to day back office support is not where we need it to be.</t>
  </si>
  <si>
    <t>The responsiveness of senior leadership.   market share   desire to improve</t>
  </si>
  <si>
    <t>Serious hiring and training   Take the feedback - like this to heart on how they execute on improvements</t>
  </si>
  <si>
    <t>The response time is way too long, there is no follow up and no urgency at all.</t>
  </si>
  <si>
    <t>In our opinion, customer service is going down. We are entrench with NBIN but there might be alternatives out there where service levels are higher.</t>
  </si>
  <si>
    <t>electronic access   trading   Our account manager; Paulo Demarco. He has been fantastic and is the main reason we have are very happy.</t>
  </si>
  <si>
    <t>customer service   Access to the account reresentative by phone.   Follow up on requests.</t>
  </si>
  <si>
    <t>It has gotten better and that is why it is a 6. I dont think they are still coming to the party and  can still do a better job. There are a lot of new people and I  dont know if everybody is at same level. Not just talking about client services but everybody. Because they had issues with fraud, the estate department has really gone down hill. It is the clients money  cant do this and that and putting up road blocks. They have a different levels of people with different competency. If I get a competent person I know it will be done right. If it someone different, I don't know. People are coming to work but not showing up.</t>
  </si>
  <si>
    <t>Because I am confident they will get it at some point.</t>
  </si>
  <si>
    <t>Their long term employees.</t>
  </si>
  <si>
    <t>Do the job. People coming in, need to show up to do the work not just come in.</t>
  </si>
  <si>
    <t>IB West</t>
  </si>
  <si>
    <t>I've worked with NBIN for 20 yrs and had other experiences with other brokers and NBIN is the best</t>
  </si>
  <si>
    <t>knowledge   communication   easy to get along with</t>
  </si>
  <si>
    <t>technology   project management could be  a little bit faster - timeliness of their projects   adopting to institutional business</t>
  </si>
  <si>
    <t>The user interface is easy use.</t>
  </si>
  <si>
    <t>We had an account where were to receive cash only. NBIN accepted securities as well as cash. The old broker accepted the security and put the onus on us to fix the problem. This caused alot of problems.</t>
  </si>
  <si>
    <t>We have had a good experience but is not perfect. I dont know about the other competitors.</t>
  </si>
  <si>
    <t>Technology services   The management team   The trading platform</t>
  </si>
  <si>
    <t>The day to day customer service   Less downtime in technology services.</t>
  </si>
  <si>
    <t>Ease of use. Professionalism and friendliness of staff. The variety of services available.</t>
  </si>
  <si>
    <t>Quality of offering   Number of services available   Professional, friendly, and helpful staff. And ease of use.</t>
  </si>
  <si>
    <t>More training, and consistent responses from the account management team.   An enhanced process for feedback and timelines for submitted requests.</t>
  </si>
  <si>
    <t>They are softer and outdate compared to the competition. Their bulk trading is manual rather than automated.</t>
  </si>
  <si>
    <t>Nearly not as much investment in their technology compared to our U.S. custodians.</t>
  </si>
  <si>
    <t>Lack of access to the people doing the transactions. We have to go through a 3rd party and they can make mistakes or provide the wrong information.</t>
  </si>
  <si>
    <t>It is not integral to our business so I just rated it as average.</t>
  </si>
  <si>
    <t>NBIN suits our needs for the niche market we are in. They do an OK job but nothing impressive.</t>
  </si>
  <si>
    <t>brand recognition.   U.S. dollar access.   Our representative does a good job when we need to communicate for more sophistocated  issues.</t>
  </si>
  <si>
    <t>A more clear transfer process.   A better trading platform.   A more dedicated service team.</t>
  </si>
  <si>
    <t>I think that the service I get from my rep is good, they are best of their people. The options they give as well as their desire to be at the  the top of their field and and being willing to serve to us and our clients the best service, this is real.</t>
  </si>
  <si>
    <t>Service.   Tech skill.   Pricing.</t>
  </si>
  <si>
    <t>A reduction in the amount of errors on the reporting basis.   N/A   N/A</t>
  </si>
  <si>
    <t>responsivess time and accuracy of information</t>
  </si>
  <si>
    <t>It's a little bit of a complicated process when it comes to estates. Many back and forth with the reps there and the steps aren't the same as with our other custodian.</t>
  </si>
  <si>
    <t>With what we use NBINfor it does meets the needs of our clients. The fee structure is a little higher with NBIN than our other custodian. Considering what our client is looking for- we would or would not recommend them depending on what they are looking for.</t>
  </si>
  <si>
    <t>system simplicity   responsiveness   over all  good service</t>
  </si>
  <si>
    <t>Their fee structure could  deter us from using NBIN for certain clients   none   none</t>
  </si>
  <si>
    <t>Antiquated technology -  slow and hard to learn</t>
  </si>
  <si>
    <t>costs plus antiquated technology</t>
  </si>
  <si>
    <t>promptness in getting back to you   willingness to look into a problem and do the research   willingness to promote their clients</t>
  </si>
  <si>
    <t>technology   cost reduction   Better partnerships with outside technology partners in terms of cost and access to more partners</t>
  </si>
  <si>
    <t>We are currently using 2 versions of Compass, the legacy and new. Their trading platform is archaic. Overall their self serve model for advisor is clunky.</t>
  </si>
  <si>
    <t>Lack of information available. Delays. Incorrect information provided.</t>
  </si>
  <si>
    <t>User access set up; we have to send emails to clients and provide temporary passwords. When they are locked out they have to call a service desk. The service model is not well defined.</t>
  </si>
  <si>
    <t>They are one of the larger providers for the model we use and they have scale.</t>
  </si>
  <si>
    <t>They are a major player in institutional/broker space.   Their people. The senior leaders are knowledgable.   They have the funds to advance the technology; roadmap.</t>
  </si>
  <si>
    <t>Consistency in day to day process.   Move faster in availability for data.   Advance technology.</t>
  </si>
  <si>
    <t>I have had issues where some of the transfers I initiated were rejected. I did not receive notification that they were rejected or why. Sometimes  the funds get sent back without notification and the account gets overdrawn. I suspect this has something to do with fees. The cash sweeps not automatically  done at the end of the month so there is a struggle to get in the residual payments.</t>
  </si>
  <si>
    <t>The response time is really slow. Sometimes I get a response that  tells me that I contacted wrong group and my email has not been forwarded. Sometime I get an acknowledgement of my message but then there is no follow-up. No one picks up the phone. There is no way of getting ahold of anyone there.</t>
  </si>
  <si>
    <t>The ting I like about NBIN is that we are able to process things on our own using servicing. What I dont like and struggle with is the client servicing aspect.</t>
  </si>
  <si>
    <t>There have been mistakes where a client contacted NBIN instead of going through their investment manager and  NBIN has been quick to let us know.   When I havent been getting answers from a team and I have contacted the higher ups, they have been quick to respond and and find a solution.   We use digit and it is integrated with NBIN and we get flow daily and that is helpful.</t>
  </si>
  <si>
    <t>Have enough employees properly trained to increase supply and service level.   The disection of different groups vrs the one group email we previously had has made things difficult. Prefer other/old way</t>
  </si>
  <si>
    <t>They are very good and prompt on transfers, things work well when it is a straight forward. But anything other than the basics, anything requiring thought or is not on their check list, it all fall off the rails.</t>
  </si>
  <si>
    <t>The senior people are very good and knowledgable in what they are doing. They try to help with your needs and are  generally competent.</t>
  </si>
  <si>
    <t>They need to work a little bit on developing skills on handling non ordinary requests. Anybody can do the easy stuff. They need to be able to deal with ad hoc situations.   Their turn around time for requests has gotten slower.</t>
  </si>
  <si>
    <t>The reason being its just comprehensive of service, there is depth of knowledge and I know they can it done, they can meet most workers needs.</t>
  </si>
  <si>
    <t>They're a Canadian Bank, backed by a robust institution bank.   Lots of knowledge and experience.   Limited to improving they're service.</t>
  </si>
  <si>
    <t>Their technology.   Their responsiveness to service inquiries.   Pricing.</t>
  </si>
  <si>
    <t>They offer a great system. It is more client friendly and more user friendly.</t>
  </si>
  <si>
    <t>There have been prolonged delays and morefiles not updated causing distress when the estate not settled on time. The tax team have not been helpful for the estate. Recently they have not been accurate on how they use or provide information.</t>
  </si>
  <si>
    <t>Overall we have had a good experience over the years but  recently there have been a lot of issues. The teams have not been up to speed and there have been a lot of delay on various ends.</t>
  </si>
  <si>
    <t>good systems, user friendly   Teams for senior managers on all teams have been really helpful and great.   They think about what is best for client, which is a good strategy.</t>
  </si>
  <si>
    <t>The service model. The specialty teams are not great. Their answers are not focused on what the question is about and are more generalized.   The systems have had a lot of downtime.   The delays on teams, there have been a lot of delays. The change in service agreements make it difficult to set expectations for our clients.</t>
  </si>
  <si>
    <t>I mostly deal with the trading team, and I don't have anything negative to say about them. They answer my question and resolve my issue quickly.</t>
  </si>
  <si>
    <t>The platforms are usually user-friendly.   The service with the trading team is always simple.   NBIN's general services are really efficient.</t>
  </si>
  <si>
    <t>They could always try to get their platform to be better.   Increase their workforce on the administration side.</t>
  </si>
  <si>
    <t>One was a delay in a transfer between two client accounts and the second Ex: comes to mind.... problems bringing in a large amount of money into a client account.</t>
  </si>
  <si>
    <t>I would say they're reputable, well known and do act professional.</t>
  </si>
  <si>
    <t>I like there place in the market.  Ex: they're not a Royal Bank   They do act very professional in carrying out our wishes/goals.   They're reputable, well known.</t>
  </si>
  <si>
    <t>They need some sort of a short term competitive investment to bring in funds in large dollar accounts.   Have a better offering in the high network client category.   Continue to be competitive in the bond department.</t>
  </si>
  <si>
    <t>I'm not sure who else is out there. So far the services provided by NBIN have been good.</t>
  </si>
  <si>
    <t>When ever I have a question they try to direct to the right department or individual to get an answer.</t>
  </si>
  <si>
    <t>They are able to populate and generate more responses that are better and more detailed.</t>
  </si>
  <si>
    <t>Lack of clarity, the amount of time it takes and lack of communication.</t>
  </si>
  <si>
    <t>Cost of the custodian services. The costs that are embedded for our clients is start to add up. Having to reimburse our clients is a lot of work. We are starting to look someone that don't penny and dime us would be ideal. Consistency. I have spoken to other firms and asked for their cost breakdown and it varies. Everything is negotiated. It is is frustrating.</t>
  </si>
  <si>
    <t>More consistency   The fees keep going up and PM's have to do more of the administrative work. We are paying more and doing more administrative work and we get less value.</t>
  </si>
  <si>
    <t>If I have an issue with NBIN, I have a phone number where I can call someone. With other custodians, I have to make an online request if I have an issue. Since NBIN has migrated to a new structure with specialist teams, I found that this has been faster, and this has been a service improvement for me.</t>
  </si>
  <si>
    <t>For NBIN, I have a contact name. That human interface makes a difference I have found. This makes the service experience better, and there's a higher expectation for getting back to me quicker, as we both know each other's names. The personal touch.</t>
  </si>
  <si>
    <t>The response time. When I call, I get a fairly quick response time.   They have good knowledge, as they give the correct answer the first time.   The professionalism of how they give fairly correct and accurate answers.</t>
  </si>
  <si>
    <t>If their system could be changed, so that I don't have to call after sending an email to follow up on that matter. If matters that are sent by email could be acted on without having to call at a later time.</t>
  </si>
  <si>
    <t>They are thorough approchable professional and available</t>
  </si>
  <si>
    <t>Response time   Clarity of responses   Abiliity to send you to another department that can help you better</t>
  </si>
  <si>
    <t>We are dealing with a difficult issue where the children of woman suffering from dementia are trying to get her estate paid out before she is deceased to deal with probate taxes. It turns out that this is illegal. We were frustrated by NBIN refusal without explanation. If they had explained the reason for the rejection it would have been much easier for us. Eventually we used the internet and Ai to find out that it was illegal.</t>
  </si>
  <si>
    <t>NBIN is better for smaller clients. RBC or Fidelity or established trust related firms are better for larger clients e.g. pension funds. RBC's fees are too high smaller clients.</t>
  </si>
  <si>
    <t>Their ability to deal with smaller accounts and their flexibility on that.   Generally they do try to work with us pretty nicely.</t>
  </si>
  <si>
    <t>Try to be competitive with services that larger clients expect. Being a true trust company activity.</t>
  </si>
  <si>
    <t>The turn around time for answers to our questions is slow.  Getting correct answers is difficult. Having to resubmit documents numerous times is frustrating.</t>
  </si>
  <si>
    <t>I would recommend comparison to other firms as NBIN is competitively priced. However over the last 2 years service has diminished as has the level of service quality.</t>
  </si>
  <si>
    <t>They are competitively priced.   Their trading platform and tools.</t>
  </si>
  <si>
    <t>Client servicing</t>
  </si>
  <si>
    <t>Fidelity does not have the relationship manager set up  so that if problems occur it take 2-3 time longer to solve than with NBIN</t>
  </si>
  <si>
    <t>For indepdant portfolio managers, National Bank is the best out there. For tax reporting NBIN is still behind. They removed Argus which was a great research service. There are issues with T1135's - include them into the tax reporting. The times from when we have to problem to resolving it takes 2-3 days. New client approvals and document updates are taking 48 hours to get done. Elimination of PM west where we had faster response to issues is not good. We are dealing more junior employees and coordinators than in the past and it has slowed down results. Everything is slow and can take 2 days to get a response. Any new account client updates take 48 hours.</t>
  </si>
  <si>
    <t>The ability for me to talk to a relationship manager or someone else directly to get problems resolved.   It is a bank and recognizable. There is no hesitency on the part of client.   It is a workable system to get things done. My knowledge of how to make things happen is the glue.</t>
  </si>
  <si>
    <t>Add T1135 into tax reporting   Faster response and turn around times   The Relationship Manager has to focus of trying to look at things from my perspective - to solve problems - my problems</t>
  </si>
  <si>
    <t>Head and shoulders capability and service level above competitors. Very nice people.</t>
  </si>
  <si>
    <t>Broad capabilities   Flexibility   friendly serv</t>
  </si>
  <si>
    <t>Cross boarder capabilities</t>
  </si>
  <si>
    <t>Good knowledge technology and responsiveness and experience and support</t>
  </si>
  <si>
    <t>technolgy   support   knowledge of the independant investment council business</t>
  </si>
  <si>
    <t>Business development support   Cash management in client accounts   none</t>
  </si>
  <si>
    <t>Just haven't had many issues,  no problems so far.</t>
  </si>
  <si>
    <t>Customer Service.   Knowledge.   The people there, the team.</t>
  </si>
  <si>
    <t>I don't see that much right now. I don't interact that much.</t>
  </si>
  <si>
    <t>They help support our business. They are a good partner to work with.</t>
  </si>
  <si>
    <t>Knowledge of getting back to you on questions and answer correctly.   The speed at which they get back to you on results.</t>
  </si>
  <si>
    <t>Improve how the roll out of technology. The Compass roll out has been disjointed and the roll out has not been completed.   The initial response time for the service email seems to have slowed down a bit.</t>
  </si>
  <si>
    <t>there's too many  multiple systems and interfaces that we have to use to pull data and it would be much easier if it was consolidated into one online platform</t>
  </si>
  <si>
    <t>this is the same one -it took 2 months to get transfer completed. There was extensive back and forth communication bw my team and nbin team and rbc team - it felt like everytime we would make a little progress the case would get assigned to a new person at nbin and the process would start  all mover again</t>
  </si>
  <si>
    <t>we had a request to tranfer an account from another firm and it took almost 2 months to complete and it was not a good experience</t>
  </si>
  <si>
    <t>not very robust and the functionality of the online platforms is not great</t>
  </si>
  <si>
    <t>nbin is our prefered provider while we have had issues we still prefer to work them</t>
  </si>
  <si>
    <t>the ability to work with independant advisors   trading capabilities are good   their willingness to engage with independant firms like ours sets them apart as well</t>
  </si>
  <si>
    <t>their support team structure could be improved   response time could be improved   online technolgy platform could be improved</t>
  </si>
  <si>
    <t>We have not used them substantially. It would be a cost benefit analysis. They have been very helpful but the cost was high when we looked into it to change our offering.</t>
  </si>
  <si>
    <t>partership   relationship management   scalability</t>
  </si>
  <si>
    <t>cost   responsiveness at a relationship manager level   The roll over of customer service was tricky with other line of business. Getting support was tricky.</t>
  </si>
  <si>
    <t>Resources and scale of NBIN and the technology package.</t>
  </si>
  <si>
    <t>The brand   The scale of the organization   Its people</t>
  </si>
  <si>
    <t>Bring about an electronic bond trading platform.   Assigning a specific service representative to a firm rather than departments.   Modernize the equity trading platform</t>
  </si>
  <si>
    <t>We have had almost 2 decade relationship with NBIN. We appreciate their service and their expertise in the industry of prime brokerage funds. Their experience in helping us manage funds. Their experience in custody of our funds to help preform services for our client with the funds.</t>
  </si>
  <si>
    <t>expertise   client servicing   knowledge</t>
  </si>
  <si>
    <t>technology   move the survey to something web based</t>
  </si>
  <si>
    <t>Their technology is outdated. There is a lack of readily available information to compute equity trades.</t>
  </si>
  <si>
    <t>Their technology is outdated. While there is some new update electronic offerings, the old system and new system dont flow that well together. There should be a better way to understand the transfer process from other custodians. Different systems give different status responses. One part says it is denied while the other part says it is pending.</t>
  </si>
  <si>
    <t>NBIN does good job preforming its core function as custodian but its technology is behind that of their competitors.</t>
  </si>
  <si>
    <t>Its relationship with the National Bank of Canada related to it being a systemically important bank.   Their ability to leverage other groups across National Bank.   Scale</t>
  </si>
  <si>
    <t>Technology offering   Incremental service support</t>
  </si>
  <si>
    <t>For our type of business, which is as a introducing broker and not a fund manager, NBIN is less reliable today than they were two years ago. Their business model is shifting away from specific services for introducing brokers and any recommendation I would be giving to a brokerage like ours would be effected by their shift away from our type of business as a core NBIN focus.</t>
  </si>
  <si>
    <t>Their balance sheet.</t>
  </si>
  <si>
    <t>Providing more experienced points of contact for specific needs.   Improving their responsiveness.   More proactive in supporting their introducing broker network.</t>
  </si>
  <si>
    <t>They understand the business. They have systems in place. They have the experience and resources. They care.</t>
  </si>
  <si>
    <t>Experience.   Depth of knowledge in the industry.   They care in serving us and our clients.</t>
  </si>
  <si>
    <t>I'd like to have better clarity on consolidating trading for our firm via NBIN.   A more effective response they have confirmed a new task to execute. For example, if we are messaging estates on a request, estates is coming back saying they received the notice and they will get back to us in 24 to 48 hours or something like that.   The whole Compass NetRep could be a little bit better, systems access. System singularity.</t>
  </si>
  <si>
    <t>We've had some difficulty with the estate team on communication and service levels  and the portal we use is not user friendly to us and the expectations are not clear - there's not a lot clarity.</t>
  </si>
  <si>
    <t>Their IT infrastucture is good and custody services is good  and the staff is knowleable and they are vey informative but the difficiencies are Estate and Trading service as well as  some on onboarding but overall they are very good</t>
  </si>
  <si>
    <t>They are  the industry leader in custody services   They do boast a competant  and knowledgeable staff   Their IT network overall is pretty good</t>
  </si>
  <si>
    <t>estate processing   better transparency or assistance with specific items - which they do address now with specific silos   consistancy and accuracy of info from support team</t>
  </si>
  <si>
    <t>There's allot of pain points in the transfer process. We understand its because were dealing with cross border transfers. Delays upwards of two to three months for a five million dollar transfer is just not acceptable. We were able to figure out what happened before NBIN did and it stands out, and a lot of money. The follow up process that NBIN has....ex: They just have as soon as you log a task, it will say plus six days or whatever it is. It doesn't feel like there is any ownership on NBINs part that they are owning the task and making sure that it happens.</t>
  </si>
  <si>
    <t>On the Canadian side on the exclusively side on how we interact with NBIN, but if the firm is looking for cross border, NBIN is not as cross border friendly as they have put themselves out to be. Were a minority of the market, I get it, that's why.</t>
  </si>
  <si>
    <t>Escalation ability.   The technology platform- really allows advisors to do everything for the clients.</t>
  </si>
  <si>
    <t>Direct communication with transfers team.   More comprehensive training of staff who are on the emails or phone lines so that we don't need to make the same call three times to validate the information we received.   Updating the onboarding forms to be consistent to what is and is not automated in the onboarding and transfer service.</t>
  </si>
  <si>
    <t>The book of record has book value issues. The coding between Legacy-Compass and LegacyX is inconsistent impacting my processes. There are issues with access where it is inconsistent with users at my firm. CompassX is built in way that does reflect legacy transactions easily - I have to look in two systems for instructions.</t>
  </si>
  <si>
    <t>Detailed in previous answer but summary of reasons are: inconsistencies, access and book value.</t>
  </si>
  <si>
    <t>Their transfer team incorrectly interpreted instructions leading to potential hundreds of thousands in gains and having a tax impact on my client.</t>
  </si>
  <si>
    <t>They incorrectly coded information leading to errors and a bad experience. We need accuracy the first time.</t>
  </si>
  <si>
    <t>Incorrect information, delays in communication and incorrect answers. The are beaurocratic and it takes a long time to get a simple answer. An example was when we submitted a request to two custodians. One got back to us in one hours while it took NBIN four days - even though I gave them the all the information citing the tax act.</t>
  </si>
  <si>
    <t>trading   The relation manager</t>
  </si>
  <si>
    <t>Respond to communication. Response to our email in time and pick up phone when we call.   Be less beaurocratic - i.e. solve problems quicker.   Take ownership of technology gaps</t>
  </si>
  <si>
    <t>More comprehensive online systems. Able to process more transactions through NBIN than other custodians. By transactions, I don't mean trading I mean client service transactions.</t>
  </si>
  <si>
    <t>Extreme delays in responsiveness. Taking too long to follow up with the delivering institution and in particular RDSP transfers. Unable to find any information on Compass on whether to follow up. Email responses are very slow. Having to follow up on my end with the delivering institution.</t>
  </si>
  <si>
    <t>Extreme delays in response. The new chain of command is not effective. Having lost a direct account manager has been a real issue. Escalation managers have not been responsive in a timely manner.</t>
  </si>
  <si>
    <t>Over the last year the reorganization on the client services, removing direct account managers and setting up the new system has not been effective. It has created extreme delays and very poor response times. No ability to escalate directly with an individual.</t>
  </si>
  <si>
    <t>Technology.   Their focus on improving technology.</t>
  </si>
  <si>
    <t>Figuring out their issues with client servicing. Whatever new system they're using is not working.   Bringing back firm specific account managers. Having a human point of escalation, like a phone call way.</t>
  </si>
  <si>
    <t>I think its the different time frames for different files, Responsiveness varies in terms of how long we get responded.</t>
  </si>
  <si>
    <t>Overall service is okay and some tasks take longer than others and sometimes emails get responded to in different timeframe.</t>
  </si>
  <si>
    <t>NBIN is a one stop shop. They cover allot of basis for you and thats important for a portfolio manager and there isn't allot of competition right now.</t>
  </si>
  <si>
    <t>Holistic solution.   I would say my relationship manager is very responsive.   Canadian bank branded.</t>
  </si>
  <si>
    <t>Customer service responsiveness.   Technology.   Education events or seminars.</t>
  </si>
  <si>
    <t>Their corespondant network business is a good solution at a reasonable price.</t>
  </si>
  <si>
    <t>technology   Direct access to specialists instead of having to go through a service coordinator.</t>
  </si>
  <si>
    <t>My experience from other platforms are more easily accessible when needed to be reached. There was more expertise and knowledge when it came to certain issues. They are more client services oriented. Overall, better client service experience.</t>
  </si>
  <si>
    <t>Delayed responses in certain areas. There was a certain review that needed to be done and it took a long time to get a response from the team. There is a lot of back fourth on clarity of documentation. Overall, it took a lot longer than anticipated.</t>
  </si>
  <si>
    <t>Inability to get in touch with anyone when you need clarity on a comment they have made to an online upload to onboarding. Knowledge when it comes to certain requests which makes them reject applications when it didn't need to be. If they followed up with a call or email prior to rejecting we could open the account quicker. Response times are an issue. It's just really hard to get in touch with someone regarding onboarding especially when accounts need to be opened quickly. Not very client service friendly.</t>
  </si>
  <si>
    <t>I think there are better options available. Based on my experiences between different clearing brokers. Others are more efficient.</t>
  </si>
  <si>
    <t>They have a really good trading department. The people in there are very helpful and knowledgeable.   The New Issue department is very organized and very good to work with.</t>
  </si>
  <si>
    <t>Their general service department.   Turnaround times need to be faster and people need to be easily accessible. More training when it comes to certain issues to better service clients.   Account opening department. Onboarding has room for improvement. More training.</t>
  </si>
  <si>
    <t>NBIN 2025 NPS</t>
  </si>
  <si>
    <t>TOTAL</t>
  </si>
  <si>
    <t>MC+LC</t>
  </si>
  <si>
    <t>1 - Not likely at all</t>
  </si>
  <si>
    <t>-</t>
  </si>
  <si>
    <t>Detractors</t>
  </si>
  <si>
    <t>Passives</t>
  </si>
  <si>
    <t>Promoters</t>
  </si>
  <si>
    <t>NPS (no Tier factor)</t>
  </si>
  <si>
    <t>Tier factors</t>
  </si>
  <si>
    <t>NPS adjusted with tier factors</t>
  </si>
  <si>
    <t>not official</t>
  </si>
  <si>
    <t>Column Labels</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</si>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</sst>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Calibri"/>
      <family val="2"/>
      <scheme val="minor"/>
    </font>
    <font>
      <sz val="10"/>
      <color rgb="FF000000"/>
      <name val="Calibri"/>
      <family val="2"/>
      <scheme val="minor"/>
    </font>
    <font>
      <b/>
      <sz val="11"/>
      <color theme="1"/>
      <name val="Calibri"/>
      <family val="2"/>
      <scheme val="minor"/>
    </font>
    <font>
      <b/>
      <sz val="11"/>
      <color rgb="FFFF0000"/>
      <name val="Calibri"/>
      <family val="2"/>
      <scheme val="minor"/>
    </font>
    <font>
      <sz val="12"/>
      <color theme="1"/>
      <name val="Calibri"/>
      <family val="2"/>
      <scheme val="minor"/>
    </font>
    <font>
      <b/>
      <sz val="18"/>
      <color theme="1"/>
      <name val="Calibri"/>
      <family val="2"/>
      <scheme val="minor"/>
    </font>
    <font>
      <b/>
      <sz val="12"/>
      <color theme="1"/>
      <name val="Calibri"/>
      <family val="2"/>
      <scheme val="minor"/>
    </font>
    <font>
      <b/>
      <sz val="9"/>
      <color rgb="FF333333"/>
      <name val="Arial"/>
      <family val="2"/>
    </font>
  </fonts>
  <fills count="6">
    <fill>
      <patternFill patternType="none"/>
    </fill>
    <fill>
      <patternFill patternType="gray125"/>
    </fill>
    <fill>
      <patternFill patternType="solid">
        <fgColor rgb="FF1F4E79"/>
        <bgColor indexed="64"/>
      </patternFill>
    </fill>
    <fill>
      <patternFill patternType="solid">
        <fgColor rgb="FFC55A11"/>
        <bgColor indexed="64"/>
      </patternFill>
    </fill>
    <fill>
      <patternFill patternType="solid">
        <fgColor rgb="FFFFFF00"/>
        <bgColor indexed="64"/>
      </patternFill>
    </fill>
    <fill>
      <patternFill patternType="solid">
        <fgColor theme="9" tint="0.59999389629810485"/>
        <bgColor indexed="64"/>
      </patternFill>
    </fill>
  </fills>
  <borders count="9">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5" fillId="0" borderId="0"/>
  </cellStyleXfs>
  <cellXfs count="39">
    <xf numFmtId="0" fontId="0" fillId="0" borderId="0" xfId="0"/>
    <xf numFmtId="0" fontId="1" fillId="2" borderId="1" xfId="0" applyFont="1" applyFill="1" applyBorder="1" applyAlignment="1">
      <alignment horizontal="center" vertical="center" wrapText="1"/>
    </xf>
    <xf numFmtId="1" fontId="2" fillId="0" borderId="1" xfId="0" applyNumberFormat="1"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center" vertical="top"/>
    </xf>
    <xf numFmtId="10" fontId="2" fillId="0" borderId="1" xfId="0" applyNumberFormat="1" applyFont="1" applyBorder="1" applyAlignment="1">
      <alignment horizontal="center" vertical="top"/>
    </xf>
    <xf numFmtId="0" fontId="2" fillId="0" borderId="1" xfId="0" applyFont="1" applyBorder="1" applyAlignment="1">
      <alignment horizontal="left" vertical="top" wrapText="1"/>
    </xf>
    <xf numFmtId="10" fontId="2" fillId="0" borderId="1" xfId="0" applyNumberFormat="1" applyFont="1" applyBorder="1" applyAlignment="1">
      <alignment horizontal="left" vertical="top"/>
    </xf>
    <xf numFmtId="0" fontId="1" fillId="3"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10" fontId="0" fillId="0" borderId="0" xfId="0" applyNumberFormat="1"/>
    <xf numFmtId="10" fontId="3" fillId="0" borderId="0" xfId="0" applyNumberFormat="1" applyFont="1"/>
    <xf numFmtId="10" fontId="3" fillId="4" borderId="0" xfId="0" applyNumberFormat="1" applyFont="1" applyFill="1"/>
    <xf numFmtId="0" fontId="4" fillId="0" borderId="0" xfId="0" applyFont="1" applyAlignment="1">
      <alignment horizontal="left"/>
    </xf>
    <xf numFmtId="9" fontId="4" fillId="0" borderId="0" xfId="0" applyNumberFormat="1" applyFont="1"/>
    <xf numFmtId="0" fontId="0" fillId="4" borderId="0" xfId="0" applyFill="1"/>
    <xf numFmtId="0" fontId="5" fillId="0" borderId="0" xfId="1"/>
    <xf numFmtId="0" fontId="7" fillId="0" borderId="2" xfId="1" applyFont="1" applyBorder="1" applyAlignment="1">
      <alignment horizontal="center"/>
    </xf>
    <xf numFmtId="49" fontId="7" fillId="0" borderId="2" xfId="1" applyNumberFormat="1" applyFont="1" applyBorder="1" applyAlignment="1">
      <alignment horizontal="center" wrapText="1"/>
    </xf>
    <xf numFmtId="0" fontId="7" fillId="0" borderId="0" xfId="1" applyFont="1"/>
    <xf numFmtId="1" fontId="7" fillId="4" borderId="3" xfId="1" applyNumberFormat="1" applyFont="1" applyFill="1" applyBorder="1" applyAlignment="1">
      <alignment horizontal="center" vertical="top"/>
    </xf>
    <xf numFmtId="1" fontId="7" fillId="0" borderId="4" xfId="1" applyNumberFormat="1" applyFont="1" applyBorder="1" applyAlignment="1">
      <alignment horizontal="center" vertical="top"/>
    </xf>
    <xf numFmtId="1" fontId="5" fillId="0" borderId="6" xfId="1" applyNumberFormat="1" applyBorder="1" applyAlignment="1">
      <alignment horizontal="center" vertical="top"/>
    </xf>
    <xf numFmtId="9" fontId="5" fillId="0" borderId="3" xfId="1" applyNumberFormat="1" applyBorder="1" applyAlignment="1">
      <alignment horizontal="center" vertical="top"/>
    </xf>
    <xf numFmtId="49" fontId="5" fillId="0" borderId="6" xfId="1" applyNumberFormat="1" applyBorder="1" applyAlignment="1">
      <alignment horizontal="center" vertical="top"/>
    </xf>
    <xf numFmtId="49" fontId="5" fillId="0" borderId="3" xfId="1" applyNumberFormat="1" applyBorder="1" applyAlignment="1">
      <alignment horizontal="center" vertical="top"/>
    </xf>
    <xf numFmtId="0" fontId="8" fillId="0" borderId="8" xfId="1" applyFont="1" applyBorder="1"/>
    <xf numFmtId="9" fontId="5" fillId="0" borderId="2" xfId="1" applyNumberFormat="1" applyBorder="1" applyAlignment="1">
      <alignment horizontal="center"/>
    </xf>
    <xf numFmtId="9" fontId="5" fillId="4" borderId="2" xfId="1" applyNumberFormat="1" applyFill="1" applyBorder="1" applyAlignment="1">
      <alignment horizontal="center"/>
    </xf>
    <xf numFmtId="9" fontId="7" fillId="0" borderId="2" xfId="1" applyNumberFormat="1" applyFont="1" applyBorder="1" applyAlignment="1">
      <alignment horizontal="center"/>
    </xf>
    <xf numFmtId="9" fontId="7" fillId="4" borderId="2" xfId="1" applyNumberFormat="1" applyFont="1" applyFill="1" applyBorder="1" applyAlignment="1">
      <alignment horizontal="center"/>
    </xf>
    <xf numFmtId="0" fontId="8" fillId="0" borderId="0" xfId="1" applyFont="1"/>
    <xf numFmtId="0" fontId="5" fillId="0" borderId="0" xfId="1" applyAlignment="1">
      <alignment horizontal="center"/>
    </xf>
    <xf numFmtId="0" fontId="8" fillId="5" borderId="0" xfId="1" applyFont="1" applyFill="1"/>
    <xf numFmtId="9" fontId="6" fillId="5" borderId="0" xfId="1" applyNumberFormat="1" applyFont="1" applyFill="1" applyAlignment="1">
      <alignment horizontal="center"/>
    </xf>
    <xf numFmtId="49" fontId="5" fillId="0" borderId="5" xfId="1" applyNumberFormat="1" applyBorder="1" applyAlignment="1">
      <alignment horizontal="left" vertical="top" wrapText="1"/>
    </xf>
    <xf numFmtId="49" fontId="5" fillId="0" borderId="7" xfId="1" applyNumberFormat="1" applyBorder="1" applyAlignment="1">
      <alignment horizontal="left" vertical="top" wrapText="1"/>
    </xf>
    <xf numFmtId="0" fontId="6" fillId="0" borderId="0" xfId="1" applyFont="1" applyAlignment="1">
      <alignment horizontal="center"/>
    </xf>
  </cellXfs>
  <cellStyles count="2">
    <cellStyle name="Normal" xfId="0" builtinId="0"/>
    <cellStyle name="Normal 2" xfId="1" xr:uid="{B8D8CF1D-19A3-474D-8222-6D8E9755A61E}"/>
  </cellStyles>
  <dxfs count="1">
    <dxf>
      <fill>
        <patternFill patternType="solid">
          <fgColor indexed="64"/>
          <bgColor rgb="FFF2F2F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4063488</xdr:colOff>
      <xdr:row>8</xdr:row>
      <xdr:rowOff>39186</xdr:rowOff>
    </xdr:from>
    <xdr:ext cx="3277629" cy="937629"/>
    <xdr:sp macro="" textlink="">
      <xdr:nvSpPr>
        <xdr:cNvPr id="2" name="Rectangle 1">
          <a:extLst>
            <a:ext uri="{FF2B5EF4-FFF2-40B4-BE49-F238E27FC236}">
              <a16:creationId xmlns:a16="http://schemas.microsoft.com/office/drawing/2014/main" id="{E6D0F9D6-96FE-E28D-5CF2-3FCBEC27616F}"/>
            </a:ext>
          </a:extLst>
        </xdr:cNvPr>
        <xdr:cNvSpPr/>
      </xdr:nvSpPr>
      <xdr:spPr>
        <a:xfrm rot="719756">
          <a:off x="4063488" y="1512386"/>
          <a:ext cx="3277629" cy="937629"/>
        </a:xfrm>
        <a:prstGeom prst="rect">
          <a:avLst/>
        </a:prstGeom>
        <a:noFill/>
      </xdr:spPr>
      <xdr:txBody>
        <a:bodyPr wrap="none" lIns="91440" tIns="45720" rIns="91440" bIns="45720">
          <a:spAutoFit/>
        </a:bodyPr>
        <a:lstStyle/>
        <a:p>
          <a:pPr algn="ctr"/>
          <a:r>
            <a:rPr lang="fr-CA" sz="5400" b="1" cap="none" spc="0">
              <a:ln w="22225">
                <a:solidFill>
                  <a:schemeClr val="accent2"/>
                </a:solidFill>
                <a:prstDash val="solid"/>
              </a:ln>
              <a:solidFill>
                <a:schemeClr val="accent2">
                  <a:lumMod val="40000"/>
                  <a:lumOff val="60000"/>
                </a:schemeClr>
              </a:solidFill>
              <a:effectLst/>
            </a:rPr>
            <a:t>not official</a:t>
          </a:r>
        </a:p>
      </xdr:txBody>
    </xdr:sp>
    <xdr:clientData/>
  </xdr:oneCellAnchor>
  <xdr:oneCellAnchor>
    <xdr:from>
      <xdr:col>0</xdr:col>
      <xdr:colOff>4063488</xdr:colOff>
      <xdr:row>32</xdr:row>
      <xdr:rowOff>39186</xdr:rowOff>
    </xdr:from>
    <xdr:ext cx="3277629" cy="937629"/>
    <xdr:sp macro="" textlink="">
      <xdr:nvSpPr>
        <xdr:cNvPr id="3" name="Rectangle 2">
          <a:extLst>
            <a:ext uri="{FF2B5EF4-FFF2-40B4-BE49-F238E27FC236}">
              <a16:creationId xmlns:a16="http://schemas.microsoft.com/office/drawing/2014/main" id="{DC60D436-ECAB-4201-920E-5E98EFC0197F}"/>
            </a:ext>
          </a:extLst>
        </xdr:cNvPr>
        <xdr:cNvSpPr/>
      </xdr:nvSpPr>
      <xdr:spPr>
        <a:xfrm rot="719756">
          <a:off x="4066663" y="1486986"/>
          <a:ext cx="3277629" cy="937629"/>
        </a:xfrm>
        <a:prstGeom prst="rect">
          <a:avLst/>
        </a:prstGeom>
        <a:noFill/>
      </xdr:spPr>
      <xdr:txBody>
        <a:bodyPr wrap="none" lIns="91440" tIns="45720" rIns="91440" bIns="45720">
          <a:spAutoFit/>
        </a:bodyPr>
        <a:lstStyle/>
        <a:p>
          <a:pPr algn="ctr"/>
          <a:r>
            <a:rPr lang="fr-CA" sz="5400" b="1" cap="none" spc="0">
              <a:ln w="22225">
                <a:solidFill>
                  <a:schemeClr val="accent2"/>
                </a:solidFill>
                <a:prstDash val="solid"/>
              </a:ln>
              <a:solidFill>
                <a:schemeClr val="accent2">
                  <a:lumMod val="40000"/>
                  <a:lumOff val="60000"/>
                </a:schemeClr>
              </a:solidFill>
              <a:effectLst/>
            </a:rPr>
            <a:t>not official</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bault-Charbonneau, Catherine" refreshedDate="46244.485529861115" createdVersion="8" refreshedVersion="8" minRefreshableVersion="3" recordCount="195" xr:uid="{4643899A-8759-4D69-8A1B-961EB1AE1F12}">
  <cacheSource type="worksheet">
    <worksheetSource ref="A1:AC1048576" sheet="2026"/>
  </cacheSource>
  <cacheFields count="30">
    <cacheField name="QUESTIONNAIRE #" numFmtId="0">
      <sharedItems containsString="0" containsBlank="1" containsNumber="1" containsInteger="1" minValue="787" maxValue="1372"/>
    </cacheField>
    <cacheField name="QK3. Do you allow Cube Research to share your individual responses with the executive in charge of NBIN´s customer service?" numFmtId="0">
      <sharedItems containsBlank="1"/>
    </cacheField>
    <cacheField name="Firm Type (Sample)" numFmtId="0">
      <sharedItems containsBlank="1"/>
    </cacheField>
    <cacheField name="Title (Sample)" numFmtId="0">
      <sharedItems containsBlank="1"/>
    </cacheField>
    <cacheField name="Region (Sample)" numFmtId="0">
      <sharedItems containsBlank="1"/>
    </cacheField>
    <cacheField name="Region (Sample)2" numFmtId="0">
      <sharedItems containsBlank="1"/>
    </cacheField>
    <cacheField name="RVP.  (Sample)" numFmtId="0">
      <sharedItems containsBlank="1"/>
    </cacheField>
    <cacheField name="RVP2.  (Sample)" numFmtId="0">
      <sharedItems containsBlank="1"/>
    </cacheField>
    <cacheField name="Tier (Sample)" numFmtId="0">
      <sharedItems containsBlank="1" count="5">
        <s v="MC"/>
        <s v="ELITE"/>
        <s v="SC"/>
        <s v="LC"/>
        <m/>
      </sharedItems>
      <fieldGroup par="29"/>
    </cacheField>
    <cacheField name="Survey Language" numFmtId="0">
      <sharedItems containsBlank="1"/>
    </cacheField>
    <cacheField name="QA2. Extremely dissatisfied/extremely satisfied - How satisfied are you with NBIN?" numFmtId="0">
      <sharedItems containsBlank="1"/>
    </cacheField>
    <cacheField name="QB2. Overall, how satisfied are you with NBIN´s trading services overall?" numFmtId="0">
      <sharedItems containsBlank="1"/>
    </cacheField>
    <cacheField name="QB2_O. What reason(s) prompted you to give a rating of [Response from QB2]? (Verbatim)" numFmtId="0">
      <sharedItems containsBlank="1"/>
    </cacheField>
    <cacheField name="QC2. Overall, how satisfied are you with NBIN´s technology solutions overall?" numFmtId="0">
      <sharedItems containsBlank="1"/>
    </cacheField>
    <cacheField name="QC2_O. What reason(s) prompted you to give a rating of [Response from QC2]? (Verbatim)" numFmtId="0">
      <sharedItems containsBlank="1" longText="1"/>
    </cacheField>
    <cacheField name="QC4. How does your technology experience with NBIN compare to your experience with other custodian(s) in general?" numFmtId="0">
      <sharedItems containsBlank="1"/>
    </cacheField>
    <cacheField name="QC4_O. How is your experience with NBIN [better/worse] compared to other custodians in general? (Verbatim)" numFmtId="0">
      <sharedItems containsBlank="1" longText="1"/>
    </cacheField>
    <cacheField name="QD2. Overall, how satisfied are you with the service related to estates?" numFmtId="0">
      <sharedItems containsBlank="1"/>
    </cacheField>
    <cacheField name="QD2_O. What reason(s) prompted you to give a rating of [Response from QD2]? (Verbatim)" numFmtId="0">
      <sharedItems containsBlank="1" longText="1"/>
    </cacheField>
    <cacheField name="QE2. Overall, how satisfied are you with the service related to transfers?" numFmtId="0">
      <sharedItems containsBlank="1"/>
    </cacheField>
    <cacheField name="QE2_O. What reason(s) prompted you to give a rating of [Response from QE2]? (Verbatim)" numFmtId="0">
      <sharedItems containsBlank="1" longText="1"/>
    </cacheField>
    <cacheField name="QF2. How satisfied are you overall with NBIN´s account administration services?" numFmtId="0">
      <sharedItems containsBlank="1"/>
    </cacheField>
    <cacheField name="QF2_O. What reason(s) prompted you to give a rating of [Response from QF2]? (Verbatim)" numFmtId="0">
      <sharedItems containsBlank="1" longText="1"/>
    </cacheField>
    <cacheField name="QG1. Overall, how satisfied are you with NBIN´s client reporting services?" numFmtId="0">
      <sharedItems containsBlank="1"/>
    </cacheField>
    <cacheField name="QG1_O. What reason(s) prompted you to give a rating of [Response from QG1]? (Verbatim)" numFmtId="0">
      <sharedItems containsBlank="1" longText="1"/>
    </cacheField>
    <cacheField name="QH2. How likely are you to recommend NBIN to a colleague or other business partner?" numFmtId="0">
      <sharedItems containsBlank="1" count="12">
        <s v="10 - Very likely"/>
        <s v="DNK/NOT APPLICABLE"/>
        <s v="9"/>
        <s v="6"/>
        <s v="7"/>
        <s v="3"/>
        <s v="8"/>
        <s v="5"/>
        <s v="1 - Not at all likely"/>
        <s v="4"/>
        <s v="2"/>
        <m/>
      </sharedItems>
    </cacheField>
    <cacheField name="QH2_O. What reason(s) prompted you to give a rating of [Response from QH2]? (Verbatim)" numFmtId="0">
      <sharedItems containsBlank="1" longText="1"/>
    </cacheField>
    <cacheField name="QJ1_O. Identify NBIN's top 3 strengths (Verbatim)" numFmtId="0">
      <sharedItems containsBlank="1" longText="1"/>
    </cacheField>
    <cacheField name="QJ2_O. What would be NBIN's top 3 opportunities for improvement? (Verbatim)" numFmtId="0">
      <sharedItems containsBlank="1" longText="1"/>
    </cacheField>
    <cacheField name="Tier (Sample)2" numFmtId="0" databaseField="0">
      <fieldGroup base="8">
        <discretePr count="5">
          <x v="3"/>
          <x v="0"/>
          <x v="1"/>
          <x v="3"/>
          <x v="2"/>
        </discretePr>
        <groupItems count="4">
          <s v="ELITE"/>
          <s v="SC"/>
          <m/>
          <s v="Groupe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n v="787"/>
    <s v="No, respondent does not consent"/>
    <s v="PM"/>
    <s v="Senior Admin"/>
    <s v="PM West"/>
    <s v="West"/>
    <s v="Michele Hansson"/>
    <s v="Michele Hansson"/>
    <x v="0"/>
    <s v="English"/>
    <s v="10 - Extremely satisfied"/>
    <m/>
    <m/>
    <s v="6"/>
    <s v="I keep logging into a new portal to the new system but then I have to use the old system to make anything work."/>
    <m/>
    <m/>
    <m/>
    <m/>
    <m/>
    <m/>
    <m/>
    <m/>
    <s v="8"/>
    <m/>
    <x v="0"/>
    <s v="They've got a good platform and strong management."/>
    <s v="Management team.   They're excellent and strong.  They're accessible which is important.   I'm happy with the National Bank brand and it's growth in western Canada.   NBIN host good events."/>
    <s v="Streamline technology.   There's multiple platforms.  There's a new version and an old version."/>
  </r>
  <r>
    <n v="1282"/>
    <s v="No, respondent does not consent"/>
    <s v="PM"/>
    <s v="Senior Admin"/>
    <s v="PM Ontario"/>
    <s v="Ont"/>
    <s v="Todd Brennand"/>
    <s v="T Brennand"/>
    <x v="1"/>
    <s v="English"/>
    <s v="8"/>
    <m/>
    <m/>
    <s v="6"/>
    <s v="The servicing system is slow. Getting on to the servicing system; more times than not we get error messages. When going from one transaction to another the fields you need to use are different; they are from another transaction. You have to sign off and back on and that is my main distress."/>
    <s v="A worse experience with NBIN"/>
    <s v="I'm able to log in quickly and process transactions efficiently."/>
    <m/>
    <m/>
    <s v="6"/>
    <s v="The response time is slow.  Sometimes we dont get a response and it results in continuous follow up. I recall one time where I was caught between the relinquishing institution and NBIN and getting two different stories as to what delay was about."/>
    <s v="8"/>
    <m/>
    <s v="9"/>
    <m/>
    <x v="1"/>
    <m/>
    <s v="They are professional   When you escalate someone gets back to you."/>
    <s v="A better transfer department   A better servicing system. Sometimes emails are ai related or ai generated. It is not very personal."/>
  </r>
  <r>
    <n v="796"/>
    <s v="No, respondent does not consent"/>
    <s v="IB"/>
    <s v="Senior Admin"/>
    <s v="IB East"/>
    <s v="East"/>
    <s v="Han Tran"/>
    <s v="Han Tran"/>
    <x v="1"/>
    <s v="English"/>
    <s v="7"/>
    <s v="7"/>
    <m/>
    <s v="7"/>
    <m/>
    <s v="A similar experience"/>
    <m/>
    <s v="6"/>
    <s v="The length of time to process an estate. Clarification of delivery of proceeds."/>
    <s v="7"/>
    <m/>
    <s v="6"/>
    <s v="Completeness and accuracy of their work."/>
    <s v="6"/>
    <s v="Regarding statements, some additional information such as beneficiaries would be beneficial to see on the statement as well as any pending trades that have not yet happened.  Regarding Portfolio Plus - to obtain a user password and link account takes a lot of time and is a very manual process."/>
    <x v="2"/>
    <s v="The team is working hard to make improvements in their service model."/>
    <s v="Their commitment to customer service.   Their commitment to improving technology.   Nothing else comes to mind"/>
    <s v="staff retention   more timely response   better improved data availability"/>
  </r>
  <r>
    <n v="800"/>
    <s v="No, respondent does not consent"/>
    <s v="PM"/>
    <s v="Principal/Executive"/>
    <s v="PM East"/>
    <s v="East"/>
    <s v="Todd Brennand"/>
    <s v="T Brennand"/>
    <x v="0"/>
    <s v="French"/>
    <s v="10 - Extremely satisfied"/>
    <m/>
    <m/>
    <s v="9"/>
    <m/>
    <m/>
    <m/>
    <s v="9"/>
    <m/>
    <s v="9"/>
    <m/>
    <m/>
    <m/>
    <s v="9"/>
    <m/>
    <x v="2"/>
    <s v="Rapiditer de service, relation d'affaires avec les employers,  experience cliente tres favorable."/>
    <s v="Orienter client.   Capaciter a trouver les solutions.   Encadrement prise en charge."/>
    <m/>
  </r>
  <r>
    <n v="802"/>
    <s v="No, respondent does not consent"/>
    <s v="PM"/>
    <s v="Senior Admin"/>
    <s v="PM Ontario"/>
    <s v="Ont"/>
    <s v="Todd Brennand"/>
    <s v="T Brennand"/>
    <x v="2"/>
    <s v="English"/>
    <s v="6"/>
    <m/>
    <m/>
    <s v="3"/>
    <s v="Because the systems are not integrated. They are legacy systems that are not integrated, result of all the acquisitions.  You need many different passwords for the platform, its not a seem less experience."/>
    <m/>
    <m/>
    <s v="8"/>
    <m/>
    <s v="7"/>
    <m/>
    <m/>
    <m/>
    <s v="5"/>
    <s v="There were system errors for the client tax slips that costed me allot of time because I had to get in between. I had to  interface with the client and had to overlook them being fixed."/>
    <x v="3"/>
    <s v="I had to pick a number."/>
    <s v="Allot of human resources.   Expertise on administrative matters.   I think my area rep is very good, Todd. I have a good relationship with him. He compensates me about things I'm not happy about."/>
    <s v="Technology.   Modernization of its interfaces.   Response time from their professionals."/>
  </r>
  <r>
    <n v="803"/>
    <s v="No, respondent does not consent"/>
    <s v="IB"/>
    <s v="Principal/Executive"/>
    <s v="IB Pacific"/>
    <s v="Pacific"/>
    <s v="Michele Hansson"/>
    <s v="Michele Hansson"/>
    <x v="0"/>
    <s v="English"/>
    <s v="6"/>
    <s v="8"/>
    <m/>
    <m/>
    <m/>
    <m/>
    <m/>
    <m/>
    <m/>
    <s v="6"/>
    <s v="Lack of response. We had to repeat ourselves a number of times to get something done"/>
    <s v="6"/>
    <s v="Lack of response. We had to repeat ourselves"/>
    <s v="7"/>
    <m/>
    <x v="4"/>
    <s v="There are very few carrying brokers or custodians these days. Once they have you, they have you. You are  kind a stuck and there are very limited options"/>
    <s v="size   market access   trading"/>
    <s v="faster response time   Technology. We have had some issues with their key systems."/>
  </r>
  <r>
    <n v="807"/>
    <s v="No, respondent does not consent"/>
    <s v="PM"/>
    <s v="Principal/Executive"/>
    <s v="PM East"/>
    <s v="East"/>
    <s v="Matthew Pollock"/>
    <s v="M Pollock"/>
    <x v="0"/>
    <s v="French"/>
    <s v="7"/>
    <m/>
    <m/>
    <m/>
    <m/>
    <m/>
    <m/>
    <m/>
    <m/>
    <m/>
    <m/>
    <m/>
    <m/>
    <s v="DNK/NOT APPLICABLE"/>
    <m/>
    <x v="3"/>
    <s v="Ca tien compte de l'experience de toutes a passer. Commment no processus fonctionne, la rapiditer,  est l'experience quotidienne."/>
    <s v="Je dirai longvergure, sont grosse, la volume.   Experitise."/>
    <s v="Dirai les delai traitements. Le delai des reponse, des fois sa prend tres long.   La flexibiliter."/>
  </r>
  <r>
    <n v="809"/>
    <s v="Yes, respondent consents"/>
    <s v="PM"/>
    <s v="Senior Admin"/>
    <s v="PM West"/>
    <s v="West"/>
    <s v="Michele Hansson"/>
    <s v="Michele Hansson"/>
    <x v="1"/>
    <s v="English"/>
    <s v="6"/>
    <m/>
    <m/>
    <s v="7"/>
    <m/>
    <s v="A better experience with NBIN"/>
    <s v="They are further along on being able access things and process transactions than other custodians. There is some inconsistency on the platforms not being available, under maintenence and providing updates is frustrating. When thing are working work well they are good."/>
    <m/>
    <m/>
    <s v="7"/>
    <m/>
    <s v="6"/>
    <s v="A good part of the system is that you can access a lot of information for different accounts. It is user friendly. The updates are not done on a timely manner. When reaching out to staff members, the answers are not always correct or inconsistent."/>
    <s v="7"/>
    <m/>
    <x v="2"/>
    <s v="Overall NBIN is a good custodian. There are some struggles with the new restructuring, hopefully it improves over time. Not a lot of complaints. It is a good business with some pain points as they work through the restructuring."/>
    <s v="Technology, online training solutions   client services when escalating to team leads"/>
    <s v="Create more knowledge within the teams to provide consistent messaging to client.   Taking more accountability when things go wrong and provide answers.   provide more support to clients"/>
  </r>
  <r>
    <n v="889"/>
    <s v="Yes, respondent consents"/>
    <s v="PM"/>
    <s v="Principal/Executive"/>
    <s v="PM Ontario"/>
    <s v="Ont"/>
    <s v="Paulo Demarco"/>
    <s v="Paulo Demarco"/>
    <x v="1"/>
    <s v="English"/>
    <s v="9"/>
    <m/>
    <m/>
    <m/>
    <m/>
    <m/>
    <m/>
    <m/>
    <m/>
    <m/>
    <m/>
    <m/>
    <m/>
    <s v="9"/>
    <m/>
    <x v="2"/>
    <s v="I have a positive experience with NBIN."/>
    <s v="People."/>
    <s v="Capital introduction.   Assistance with sales integration through the retail channel."/>
  </r>
  <r>
    <n v="904"/>
    <s v="Yes, respondent consents"/>
    <s v="PM"/>
    <s v="Principal/Executive"/>
    <s v="PM West"/>
    <s v="West"/>
    <s v="Michele Hansson"/>
    <s v="Michele Hansson"/>
    <x v="1"/>
    <s v="English"/>
    <s v="6"/>
    <m/>
    <m/>
    <s v="9"/>
    <m/>
    <m/>
    <m/>
    <s v="6"/>
    <s v="Inconsistent guidance and requirements.  Too much back and forth on seeking questions and answers."/>
    <m/>
    <m/>
    <m/>
    <m/>
    <s v="8"/>
    <m/>
    <x v="2"/>
    <s v="Limited custodian offering in Canada.   Better than average service.  Ease of use."/>
    <s v="High quality executive team.   Good self serve platform.   Willingness for collaboration"/>
    <s v="Full achievement of specialized service teams.   A la carte reporting options.   Integrated onboarding for firm specific needs."/>
  </r>
  <r>
    <n v="1010"/>
    <s v="No, respondent does not consent"/>
    <s v="PM"/>
    <s v="Principal/Executive"/>
    <s v="PM Ontario"/>
    <s v="Ont"/>
    <s v="Paulo Demarco"/>
    <s v="Paulo Demarco"/>
    <x v="1"/>
    <s v="English"/>
    <s v="9"/>
    <m/>
    <m/>
    <s v="9"/>
    <m/>
    <s v="A better experience with NBIN"/>
    <s v="Because it is tailored to the needs of an ICPM."/>
    <m/>
    <m/>
    <m/>
    <m/>
    <m/>
    <m/>
    <s v="7"/>
    <m/>
    <x v="2"/>
    <s v="It would depend on needs of the relationship."/>
    <s v="responsiveness   proactiveness   relationships"/>
    <s v="reporting   Additional access to data.   technology"/>
  </r>
  <r>
    <n v="819"/>
    <s v="Yes, respondent consents"/>
    <s v="PM"/>
    <s v="Principal/Executive"/>
    <s v="PM Ontario"/>
    <s v="Ont"/>
    <s v="Paulo Demarco"/>
    <s v="Paulo Demarco"/>
    <x v="3"/>
    <s v="English"/>
    <s v="1 - Extremely dissatisfied"/>
    <m/>
    <m/>
    <s v="7"/>
    <m/>
    <s v="A worse experience with NBIN"/>
    <s v="They just simply have a simpler easy, better to use interface that requires less manual follow up."/>
    <s v="1 - Extremely dissatisfied"/>
    <s v="Massive delays. People don't seem to be able to respond on a timely basis. Follow ups are put in the back of the list and the SLA is not being met and they don't seem to have the resources to handle these types of situations."/>
    <s v="2"/>
    <s v="Mistakes on incoming transfers and long processing times."/>
    <s v="3"/>
    <s v="Long delays in responding , the new service model isn't working, requests take  a long time to resolve."/>
    <s v="7"/>
    <m/>
    <x v="5"/>
    <s v="The service quality has deteriated in the last year and it would make it very hard for them to execute on this business, therefore it would be hard for me to recommend this to anyone."/>
    <s v="Client does not see any strengths right now."/>
    <s v="Every area of NBIN that we are in touch with seems to be having difficulties and delays.   This is the worst we've ever seen it in our twenty year history."/>
  </r>
  <r>
    <n v="822"/>
    <s v="No, respondent does not consent"/>
    <s v="PM"/>
    <s v="Senior Admin"/>
    <s v="PM East"/>
    <s v="East"/>
    <s v="Matthew Pollock"/>
    <s v="M Pollock"/>
    <x v="0"/>
    <s v="English"/>
    <s v="7"/>
    <m/>
    <m/>
    <s v="8"/>
    <m/>
    <m/>
    <m/>
    <s v="8"/>
    <m/>
    <s v="6"/>
    <s v="Initially, I'd say for the first six months, there were a lot of issues with getting correct instructions from NBIN.  The response time from their team was very lengthy.  I will say with the past few months, things have improved a little bit."/>
    <s v="7"/>
    <m/>
    <s v="9"/>
    <m/>
    <x v="4"/>
    <s v="The amount of issues we've had in the past, specifically with the length in replies and in getting incorrect instructions.  Overall, the systems they have in place are good.  They would be more efficient if they were able to give us more timely responses."/>
    <s v="Their estates department is good at what they do.   I have very few issues when I reach out to the estate team and I can trust what they say is what I should be doing.   Whenever anything is escalated, their team acts much more promptly and they do everything to get it resolved.   Their systems that they have  in place encompass are good and user-friendly systems."/>
    <s v="More timely responses to the emails.   Accuracy of the instructions and guidance that they provide."/>
  </r>
  <r>
    <n v="1018"/>
    <s v="Yes, respondent consents"/>
    <s v="IB"/>
    <s v="Principal/Executive"/>
    <s v="IB East"/>
    <s v="East"/>
    <s v="Han Tran"/>
    <s v="Han Tran"/>
    <x v="1"/>
    <s v="English"/>
    <s v="8"/>
    <s v="9"/>
    <m/>
    <s v="7"/>
    <m/>
    <m/>
    <m/>
    <m/>
    <m/>
    <s v="9"/>
    <m/>
    <s v="9"/>
    <m/>
    <s v="DNK/NOT APPLICABLE"/>
    <m/>
    <x v="2"/>
    <s v="High quality, good communication, responsiveness, experience and knowledge."/>
    <s v="knowledge   responsiveness   professionalism"/>
    <s v="cross management   proactive engagement   Clarity of invoicing"/>
  </r>
  <r>
    <n v="1031"/>
    <s v="Yes, respondent consents"/>
    <s v="PM"/>
    <s v="Senior Admin"/>
    <s v="PM East"/>
    <s v="East"/>
    <s v="Matthew Pollock"/>
    <s v="M Pollock"/>
    <x v="1"/>
    <s v="English"/>
    <s v="7"/>
    <s v="8"/>
    <m/>
    <s v="7"/>
    <m/>
    <s v="A better experience with NBIN"/>
    <s v="NetRep is easy to use. IMOS is quite clear. The onboarding is really good to use but would like to see some improvements."/>
    <s v="6"/>
    <s v="We had some issues at tax time regarding specific T4RIF slips. It took a lot of back and forth and time we needed."/>
    <s v="7"/>
    <m/>
    <s v="7"/>
    <m/>
    <s v="8"/>
    <m/>
    <x v="2"/>
    <s v="I would recommend them but have have to give a warning about problems we have experienced with the new model. The specialist teams are taking a long time to respond and some of the answers we are getting are getting are not good. We much preferred having a point person who knew us and how we work."/>
    <s v="technology   The previous team and we are very fond of them when deal  when them now - we are always satisfied.   The onboarding - we are quite happy with that. The only exception is that FHSA are not incorporated into the model."/>
    <s v="response times   quality of responses   Compass time outs are to fast - 5 minutes or less. We should be be able extend that."/>
  </r>
  <r>
    <n v="831"/>
    <s v="Yes, respondent consents"/>
    <s v="PM"/>
    <s v="Principal/Executive"/>
    <s v="PM East"/>
    <s v="East"/>
    <s v="Matthew Pollock"/>
    <s v="M Pollock"/>
    <x v="0"/>
    <s v="English"/>
    <s v="8"/>
    <s v="7"/>
    <m/>
    <s v="7"/>
    <m/>
    <s v="A similar experience"/>
    <m/>
    <m/>
    <m/>
    <m/>
    <m/>
    <m/>
    <m/>
    <s v="8"/>
    <m/>
    <x v="6"/>
    <s v="They're very diligent in providing services. They care about their customers. They continue  to improve their services, even though they are growing very fast and have challenges giving the right answer. That's why I gave a six on that. They're always working towards improving. They're dedicated in educating their clients with various training solutions."/>
    <s v="Cares about the client.   Dedicated support.   Education and training."/>
    <s v="Technology services specifically in trading.   Back office administrative training.   Market awareness."/>
  </r>
  <r>
    <n v="1077"/>
    <s v="No, respondent does not consent"/>
    <s v="PM"/>
    <s v="Principal/Executive"/>
    <s v="PM Ontario"/>
    <s v="Ont"/>
    <s v="Todd Brennand"/>
    <s v="T Brennand"/>
    <x v="1"/>
    <s v="English"/>
    <s v="8"/>
    <s v="8"/>
    <m/>
    <s v="7"/>
    <m/>
    <m/>
    <m/>
    <s v="7"/>
    <m/>
    <s v="6"/>
    <s v="Speed and responsiveness. It is a little bit slow, so, their efficiency."/>
    <s v="8"/>
    <m/>
    <s v="8"/>
    <m/>
    <x v="2"/>
    <s v="They are more reliable reputable."/>
    <s v="The size of their team.   Leadership   Dependability"/>
    <s v="Response time.`   Ease of reach. Sometimes you send something into inbox and you just done know where it lands."/>
  </r>
  <r>
    <n v="1132"/>
    <s v="Yes, respondent consents"/>
    <s v="PM"/>
    <s v="Senior Admin"/>
    <s v="PM Ontario"/>
    <s v="Ont"/>
    <s v="Paulo Demarco"/>
    <s v="Paulo Demarco"/>
    <x v="1"/>
    <s v="English"/>
    <s v="7"/>
    <m/>
    <m/>
    <s v="7"/>
    <m/>
    <m/>
    <m/>
    <m/>
    <m/>
    <s v="9"/>
    <m/>
    <s v="9"/>
    <m/>
    <s v="DNK/NOT APPLICABLE"/>
    <m/>
    <x v="2"/>
    <s v="I truley value the collaboration with the teams I work with. They are hard working and come through when need help with clients. Overall they are very collaborative and enjoy the partnership with them. They are really willing to help."/>
    <s v="The account team is very knowledgeable and very helpful in accounts opening process.   NBIN's implementation team - the individuals I work with go above and beyond.   Paulo the Regional VP - Paulo I value his relationship skills. He is in tune with clients and value our partnership. The creating collaborative extends to his  entire team."/>
    <s v="The response time can be slow due to the transition to dedicated teams.   There are improvements to be made in the OB platform   The way they set up new users in the onboarding platform needs to be improved."/>
  </r>
  <r>
    <n v="1184"/>
    <s v="No, respondent does not consent"/>
    <s v="IB"/>
    <s v="Principal/Executive"/>
    <s v="IB East"/>
    <s v="East"/>
    <s v="Han Tran"/>
    <s v="Han Tran"/>
    <x v="1"/>
    <s v="English"/>
    <s v="7"/>
    <m/>
    <m/>
    <s v="6"/>
    <s v="The technology is dated and there are no real time updates. We have to wait a day to get information on a  transaction. An example is that if a client pays today we will not see a transaction posting until a day later. It is extremely frustrating."/>
    <s v="A worse experience with NBIN"/>
    <s v="Real time updates would make it easier to make decisions."/>
    <m/>
    <m/>
    <s v="4"/>
    <s v="The time it takes for a transfer from one firm to another. There is no reason for it. NBIN drags its feet on outbound transfers. It can take 11-12 days and is ridiculous. It is due to NBIN's own internal policies. It needs to be done in a timely manner."/>
    <s v="8"/>
    <m/>
    <s v="DNK/NOT APPLICABLE"/>
    <m/>
    <x v="2"/>
    <s v="It depends on their business model. Their technology is not strong but depends on what client is looking for. I also use Fidelity but cant compare their technology to NBIN's."/>
    <s v="Professionalism in dealing with issues.   communication"/>
    <s v="technology   Their staffing in some areas. It seems to be running on vapors and we are not getting the needed turn around time."/>
  </r>
  <r>
    <n v="842"/>
    <s v="Yes, respondent consents"/>
    <s v="PM"/>
    <s v="Senior Admin"/>
    <s v="PM Ontario"/>
    <s v="Ont"/>
    <s v="Paulo Demarco"/>
    <s v="Paulo Demarco"/>
    <x v="3"/>
    <s v="English"/>
    <s v="6"/>
    <s v="7"/>
    <m/>
    <m/>
    <m/>
    <m/>
    <m/>
    <s v="7"/>
    <m/>
    <s v="5"/>
    <s v="When transfers are submitted, National Bank is not confirming that they're set up in good order.  There's a lot of back and forth rejections rather than a first rejection including all the issues."/>
    <s v="7"/>
    <m/>
    <s v="8"/>
    <m/>
    <x v="6"/>
    <s v="90% of operations are great, 10% could be improved."/>
    <s v="Their online platform is pretty good.   It's becoming more automated and less manual.   Their online client reporting is good as well.  The ease of access."/>
    <s v="Transfers.   Clarifying issues at the beginning of the process.   They recently restructured their emails for different departments.   Their responsibilities need to be clarified.   They call it the SLA times, which are a bit long."/>
  </r>
  <r>
    <n v="848"/>
    <s v="Yes, respondent consents"/>
    <s v="PM"/>
    <s v="Senior Admin"/>
    <s v="PM West"/>
    <s v="West"/>
    <s v="Michele Hansson"/>
    <s v="Michele Hansson"/>
    <x v="0"/>
    <s v="English"/>
    <s v="7"/>
    <s v="9"/>
    <m/>
    <s v="7"/>
    <m/>
    <m/>
    <m/>
    <s v="7"/>
    <m/>
    <s v="5"/>
    <s v="The long timeline on transfers. The response from the transfer team on our questions."/>
    <s v="7"/>
    <m/>
    <s v="7"/>
    <m/>
    <x v="6"/>
    <s v="Of the options available, they are sufficient."/>
    <s v="Trading.   Communication.   Support to us as a business."/>
    <s v="Consistency in administrative procedures.   Their technology platforms, especially from the client-facing perspective.   Their ability to offer creative solutions for business growth opportunities."/>
  </r>
  <r>
    <n v="1256"/>
    <s v="No, respondent does not consent"/>
    <s v="PM"/>
    <s v="Senior Admin"/>
    <s v="PM Ontario"/>
    <s v="Ont"/>
    <s v="Todd Brennand"/>
    <s v="T Brennand"/>
    <x v="1"/>
    <s v="English"/>
    <s v="7"/>
    <m/>
    <m/>
    <s v="8"/>
    <m/>
    <s v="It depends"/>
    <s v="its because there not apples to apples applications to be able to  provide a proper comparaison"/>
    <m/>
    <m/>
    <m/>
    <m/>
    <s v="9"/>
    <m/>
    <s v="DNK/NOT APPLICABLE"/>
    <m/>
    <x v="2"/>
    <s v="Because of our long relationship with NBIN and employees that we have built relationships with -it would be easier for any firms that we work with to use the same custodian that we work with"/>
    <s v="Their employees and they willingness to assist   Consistantly working on improving their technology   None"/>
    <s v="Going back to a dedicated service rep for any assistant needed for the firm   Acknowledgement  of emails in a timely manner   Improving user experience on their MyRequest application"/>
  </r>
  <r>
    <n v="855"/>
    <s v="Yes, respondent consents"/>
    <s v="PM"/>
    <s v="Principal/Executive"/>
    <s v="PM Ontario"/>
    <s v="Ont"/>
    <s v="Todd Brennand"/>
    <s v="T Brennand"/>
    <x v="0"/>
    <s v="English"/>
    <s v="8"/>
    <s v="5"/>
    <s v="I can't trade bonds directly.  We can't trade directly on our ETFs."/>
    <m/>
    <m/>
    <m/>
    <m/>
    <m/>
    <m/>
    <m/>
    <m/>
    <s v="7"/>
    <m/>
    <s v="6"/>
    <s v="The core issue would be the look and feel of the reports and technology of NBIN."/>
    <x v="4"/>
    <s v="Weak technology.  Some inefficiencies in their system."/>
    <s v="The brand.  It's a recognized chartered bank.   Good people.   Cost effective pricing."/>
    <s v="Upgrade their systems.   Bring them into 2026.  They're all using antiquated technology.   To add a portfolio management system."/>
  </r>
  <r>
    <n v="814"/>
    <s v="Yes, respondent consents"/>
    <s v="PM"/>
    <s v="Senior Admin"/>
    <s v="PM Ontario"/>
    <s v="Ont"/>
    <s v="Todd Brennand"/>
    <s v="T Brennand"/>
    <x v="1"/>
    <s v="English"/>
    <s v="8"/>
    <s v="9"/>
    <m/>
    <s v="9"/>
    <m/>
    <m/>
    <m/>
    <s v="8"/>
    <m/>
    <s v="9"/>
    <m/>
    <s v="8"/>
    <m/>
    <s v="8"/>
    <m/>
    <x v="6"/>
    <s v="They can be better."/>
    <s v="Knowledgeable staff.   Higher-up admin staff have expertise which is appreciated.   Overall, their platforms work efficiently."/>
    <s v="For entry-level admin staff to be trained better.   There could be faster response times.   Revamp the platforms to all be on one platform."/>
  </r>
  <r>
    <n v="826"/>
    <s v="Yes, respondent consents"/>
    <s v="PM"/>
    <s v="Principal/Executive"/>
    <s v="PM Ontario"/>
    <s v="Ont"/>
    <s v="Todd Brennand"/>
    <s v="T Brennand"/>
    <x v="1"/>
    <s v="English"/>
    <s v="9"/>
    <m/>
    <m/>
    <s v="7"/>
    <m/>
    <m/>
    <m/>
    <m/>
    <m/>
    <m/>
    <m/>
    <m/>
    <m/>
    <s v="7"/>
    <m/>
    <x v="6"/>
    <s v="The overall service that NBIN provides is excellent, their technology leads me to an eight as opposed to ten."/>
    <s v="Client service.   Focus on portfolio management sector.   The people."/>
    <s v="Improve technology."/>
  </r>
  <r>
    <n v="870"/>
    <s v="Yes, respondent consents"/>
    <s v="PM"/>
    <s v="Principal/Executive"/>
    <s v="PM East"/>
    <s v="East"/>
    <s v="Matthew Pollock"/>
    <s v="M Pollock"/>
    <x v="2"/>
    <s v="French"/>
    <s v="7"/>
    <m/>
    <m/>
    <s v="8"/>
    <m/>
    <s v="A similar experience"/>
    <m/>
    <m/>
    <m/>
    <s v="9"/>
    <m/>
    <m/>
    <m/>
    <s v="9"/>
    <m/>
    <x v="2"/>
    <s v="Une bonne reputation aux Quebec, tres importante pour mes clients."/>
    <s v="Les outils technologiques.   La reputation.   La varieter des produits accessible."/>
    <s v="La service a la clientelle.   Delay de traitment des demande.   Creation d'un manuelle des precedures administratifs."/>
  </r>
  <r>
    <n v="871"/>
    <s v="No, respondent does not consent"/>
    <s v="PM"/>
    <s v="Principal/Executive"/>
    <s v="PM Pacific"/>
    <s v="Pacific"/>
    <s v="Han Tran"/>
    <s v="Han Tran"/>
    <x v="0"/>
    <s v="English"/>
    <s v="8"/>
    <s v="9"/>
    <m/>
    <s v="5"/>
    <s v="A disconnect between different platforms. A lack of being on par with what is expected from clients these days. Wealth Simple is the bar. My Portfolio Plus is dated in terms of its look and feel. The onboard experience is very clunky."/>
    <m/>
    <m/>
    <s v="7"/>
    <m/>
    <s v="7"/>
    <m/>
    <s v="8"/>
    <m/>
    <s v="7"/>
    <m/>
    <x v="0"/>
    <s v="They are the only custodian we work with and are good enough."/>
    <s v="Trade execution   Openness to technology feedback   The senior executive team being very accessible"/>
    <s v="Actually making technology advances   Continuity in service staff   Similar training between service staff"/>
  </r>
  <r>
    <n v="827"/>
    <s v="No, respondent does not consent"/>
    <s v="PM"/>
    <s v="Principal/Executive"/>
    <s v="PM Ontario"/>
    <s v="Ont"/>
    <s v="Paulo Demarco"/>
    <s v="Paulo Demarco"/>
    <x v="1"/>
    <s v="English"/>
    <s v="8"/>
    <m/>
    <m/>
    <s v="8"/>
    <m/>
    <m/>
    <m/>
    <s v="8"/>
    <m/>
    <s v="8"/>
    <m/>
    <s v="7"/>
    <m/>
    <s v="8"/>
    <m/>
    <x v="6"/>
    <s v="Overall they provide everything we need to manage our accounts."/>
    <s v="technology   response time   statements"/>
    <s v="knowledge of administration staff."/>
  </r>
  <r>
    <n v="876"/>
    <s v="Yes, respondent consents"/>
    <s v="PM"/>
    <s v="Senior Admin"/>
    <s v="PM Ontario"/>
    <s v="Ont"/>
    <s v="Todd Brennand"/>
    <s v="T Brennand"/>
    <x v="0"/>
    <s v="English"/>
    <s v="8"/>
    <m/>
    <m/>
    <s v="7"/>
    <m/>
    <s v="A similar experience"/>
    <m/>
    <s v="9"/>
    <m/>
    <s v="8"/>
    <m/>
    <s v="8"/>
    <m/>
    <s v="8"/>
    <m/>
    <x v="2"/>
    <s v="Because we have had a business relationship with them for years."/>
    <s v="Good customer service.   Always willing to listen."/>
    <s v="Speediness of responses.   Getting me the correct answer the first time."/>
  </r>
  <r>
    <n v="832"/>
    <s v="No, respondent does not consent"/>
    <s v="IB"/>
    <s v="Senior Admin"/>
    <s v="IB Ontario"/>
    <s v="Ont"/>
    <s v="Michele Hansson"/>
    <s v="Michele Hansson"/>
    <x v="1"/>
    <s v="English"/>
    <s v="7"/>
    <s v="7"/>
    <m/>
    <s v="7"/>
    <m/>
    <m/>
    <m/>
    <s v="5"/>
    <s v="The turn around time is very slow."/>
    <s v="5"/>
    <s v="The process takes too long. The only come back to you when you chase them not automatically."/>
    <s v="7"/>
    <m/>
    <s v="7"/>
    <m/>
    <x v="6"/>
    <s v="We have worked with them for 20 plus years. We have a record with them."/>
    <s v="customer service   infrastructure   knowledge"/>
    <s v="The estate department need improvement in turn around.   The RESP department needs improvement.   The transfer department needs improvement."/>
  </r>
  <r>
    <n v="949"/>
    <s v="Yes, respondent consents"/>
    <s v="PM"/>
    <s v="Senior Admin"/>
    <s v="PM Ontario"/>
    <s v="Ont"/>
    <s v="Paulo Demarco"/>
    <s v="Paulo Demarco"/>
    <x v="1"/>
    <s v="English"/>
    <s v="6"/>
    <s v="9"/>
    <m/>
    <m/>
    <m/>
    <m/>
    <m/>
    <s v="8"/>
    <m/>
    <s v="7"/>
    <m/>
    <s v="7"/>
    <m/>
    <s v="8"/>
    <m/>
    <x v="6"/>
    <s v="They have good service. They need to be more proactive in their teams. Overall they have a good service. The platform is very easy to use."/>
    <s v="The overall trading system is very good.   Their service in terms of the platform is very good and easy to use and manage.   They are very good in communicating with clients like us."/>
    <s v="The account manager and team need to be more proactive. They take too long to answer one question you have.   They need to train or hire more people so as not to take too long to answer questions."/>
  </r>
  <r>
    <n v="975"/>
    <s v="Yes, respondent consents"/>
    <s v="PM"/>
    <s v="Senior Admin"/>
    <s v="PM Ontario"/>
    <s v="Ont"/>
    <s v="Paulo Demarco"/>
    <s v="Paulo Demarco"/>
    <x v="1"/>
    <s v="English"/>
    <s v="7"/>
    <m/>
    <m/>
    <s v="8"/>
    <m/>
    <m/>
    <m/>
    <m/>
    <m/>
    <m/>
    <m/>
    <s v="8"/>
    <m/>
    <s v="7"/>
    <m/>
    <x v="6"/>
    <s v="The user experience with technology. Their willingness to build relationships with clients. Their willing to always try to help."/>
    <s v="The use of technology   Building relationships   Willingness to always help"/>
    <s v="Internal training for their employees   Ensure their employees know their clients - like us.   Promptness on responses"/>
  </r>
  <r>
    <n v="1012"/>
    <s v="Yes, respondent consents"/>
    <s v="IB"/>
    <s v="Principal/Executive"/>
    <s v="IB East"/>
    <s v="East"/>
    <s v="Han Tran"/>
    <s v="Han Tran"/>
    <x v="1"/>
    <s v="French"/>
    <s v="6"/>
    <m/>
    <m/>
    <s v="8"/>
    <m/>
    <s v="A similar experience"/>
    <m/>
    <m/>
    <m/>
    <m/>
    <m/>
    <m/>
    <m/>
    <s v="8"/>
    <m/>
    <x v="6"/>
    <s v="je suis generalemant satisfaites des servicea que l'on recoit et il y a de moins en moins d'offres sur le marche."/>
    <s v="Le travail en technologie - l'amelioration qu'il font a leur systeme   Leurs ecoute quand on a des demandes specifiques   La collaboration que je peux  avoir avec certains departements specifiques"/>
    <s v="il devait ameliorer leurs expertise et connaisesse en operations   Les communications - ils  devraient communiquer un probleme avant que ca soit nous qui leur dit qu'il y a un probleme   none"/>
  </r>
  <r>
    <n v="892"/>
    <s v="Yes, respondent consents"/>
    <s v="PM"/>
    <s v="Senior Admin"/>
    <s v="PM East"/>
    <s v="East"/>
    <s v="Matthew Pollock"/>
    <s v="M Pollock"/>
    <x v="0"/>
    <s v="English"/>
    <s v="7"/>
    <m/>
    <m/>
    <s v="8"/>
    <m/>
    <m/>
    <m/>
    <m/>
    <m/>
    <s v="5"/>
    <s v="The responsiveness has decreased. There is no accountability and no responsiveness. We had a team in past no longer have that."/>
    <s v="6"/>
    <s v="There has been a real decline in responsiveness. NBIN changed their response model/delivery model and we are not get responses. They have decentralized. Prior to this I would have given them a higher rating. There is no longer any accountability."/>
    <s v="8"/>
    <m/>
    <x v="6"/>
    <s v="Overall the offering is very good. It is just that the decentralized model of service that is the real stickibg point and it needs to addressed."/>
    <s v="The business model for portfolio mangers   Integratio0n with portfolio management system   Integration with trading"/>
    <s v="Providing a strong daily service team   Dramatically improving responsiveness"/>
  </r>
  <r>
    <n v="897"/>
    <s v="Yes, respondent consents"/>
    <s v="PM"/>
    <s v="Senior Admin"/>
    <s v="PM Pacific"/>
    <s v="Pacific"/>
    <s v="Han Tran"/>
    <s v="Han Tran"/>
    <x v="0"/>
    <s v="English"/>
    <s v="8"/>
    <s v="8"/>
    <m/>
    <s v="8"/>
    <m/>
    <s v="A better experience with NBIN"/>
    <s v="NBIN has more of a team approach and better technology reporting. NBIN provides regulatory updates."/>
    <m/>
    <m/>
    <m/>
    <m/>
    <m/>
    <m/>
    <s v="8"/>
    <m/>
    <x v="6"/>
    <s v="We are satisfied with the customer service NBIN provides."/>
    <s v="The ability to contact the right person the first time.   The custodial statement layout.   The trade support team."/>
    <s v="More competitive interest rate on cash accounts.   Ability to recover swiss dividends withholding taxes."/>
  </r>
  <r>
    <n v="1013"/>
    <s v="Yes, respondent consents"/>
    <s v="IB"/>
    <s v="Principal/Executive"/>
    <s v="IB Ontario"/>
    <s v="Ont"/>
    <s v="Nick Sarazin"/>
    <s v="Nick Sarazin"/>
    <x v="1"/>
    <s v="English"/>
    <s v="8"/>
    <m/>
    <m/>
    <m/>
    <m/>
    <m/>
    <m/>
    <m/>
    <m/>
    <m/>
    <m/>
    <s v="8"/>
    <m/>
    <s v="8"/>
    <m/>
    <x v="6"/>
    <s v="Happy with the service and a good relationship with the team."/>
    <s v="Client service   Commitment to the quality"/>
    <s v="More flexibility with client solutions"/>
  </r>
  <r>
    <n v="907"/>
    <s v="No, respondent does not consent"/>
    <s v="PM"/>
    <s v="Senior Admin"/>
    <s v="PM Ontario"/>
    <s v="Ont"/>
    <s v="Paulo Demarco"/>
    <s v="Paulo Demarco"/>
    <x v="0"/>
    <s v="English"/>
    <s v="7"/>
    <s v="9"/>
    <m/>
    <m/>
    <m/>
    <m/>
    <m/>
    <s v="9"/>
    <m/>
    <s v="6"/>
    <s v="We have had tranfers that took significantly longer than anticipated. We have had issues with a client who reached out NBIN and did not receive a response or the response was not clear. This led to further delays. We have also had information from NBIN on an update was incorrect. The client reached out to their own institution and the information they got conflicted with what we had recieved from NBIN. This resulted in us looking unprofessional."/>
    <s v="7"/>
    <m/>
    <s v="8"/>
    <m/>
    <x v="4"/>
    <s v="We have a generally positive opinion of NBIN. But we had issue regarding how quickly the team gets back to us. Issues around being timely, inaccurate information and not being proactive have caused delays. There has been a loss of time and effort."/>
    <s v="The cost for service they provide and it is competitively priced.   We have had a long standing relationship and overall our general impression is positive.   It is a very well recognized name that inspires a sense of confidence in our clients."/>
    <s v="Consistency and opportunities for communication with clients and accuracy of the information they provide.   Getting back to clients in timely manner.   Accuracy and proactivity when required and always cite a reason or next steps."/>
  </r>
  <r>
    <n v="909"/>
    <s v="Yes, respondent consents"/>
    <s v="PM"/>
    <s v="Principal/Executive"/>
    <s v="PM Ontario"/>
    <s v="Ont"/>
    <s v="Todd Brennand"/>
    <s v="T Brennand"/>
    <x v="0"/>
    <s v="English"/>
    <s v="8"/>
    <s v="10 - Extremely satisfied"/>
    <m/>
    <m/>
    <m/>
    <m/>
    <m/>
    <s v="9"/>
    <m/>
    <s v="7"/>
    <m/>
    <m/>
    <m/>
    <s v="10 - Extremely satisfied"/>
    <m/>
    <x v="0"/>
    <s v="It is a long term relationship and very positive. You have asked very appropriate questions. The leadership is amazing. There has been a impetus to put work back on my team and that my niggle. We used to use TD now it is NBIN. I'm looking to hire another Op's person. Overall we are happy with the services on the portfolio management side. Some of the Operations side is a work in progress."/>
    <s v="strong management   strong trading desk   They are always working on new initiatives like upgrading."/>
    <s v="If someone is good on the op's side they get promoted or they move on in 6-12 months. They tax our Op's more than I am comfortable with which is why I am looking at hiring an additional Op's person."/>
  </r>
  <r>
    <n v="1066"/>
    <s v="Yes, respondent consents"/>
    <s v="PM"/>
    <s v="Senior Admin"/>
    <s v="PM Ontario"/>
    <s v="Ont"/>
    <s v="Paulo Demarco"/>
    <s v="Paulo Demarco"/>
    <x v="1"/>
    <s v="English"/>
    <s v="7"/>
    <s v="9"/>
    <m/>
    <s v="8"/>
    <m/>
    <s v="A similar experience"/>
    <m/>
    <s v="8"/>
    <m/>
    <s v="7"/>
    <m/>
    <s v="6"/>
    <s v="It has been a struggle of late and it is not getting better. Communication is slow. The new method they are using to communicate was supposed to enhance or increase service level but has declined. The turn around time is an issue for us."/>
    <s v="8"/>
    <m/>
    <x v="6"/>
    <s v="It depends on the clients needs. NBIN has been doing this for a very long time. Our experience this year has not been great. I trust the people behind it and hope that we continue to have a voice to ensure changes are made."/>
    <s v="The level of experience behind the platform.   They are trying to take into account all clients needs.   When we do escalate they are open to hearing our experience and trying to make changes. They have events that bring us all us together to provide feedback."/>
    <s v="Communication between us as client and service team.   I dont know who is responsible for servicing our requests. Sometimes it takes while to get a response. We have been told to mark the request as urgent but I dont feel that we should have to do that with every request.   The communication flow. The time it takes to get a response. What ever system they are using is impeding our flow. As far as I know, our emails go to a general system and sits in a line until someone responds. We dont have someone who knows us anymore."/>
  </r>
  <r>
    <n v="930"/>
    <s v="Yes, respondent consents"/>
    <s v="PM"/>
    <s v="Principal/Executive"/>
    <s v="PM East"/>
    <s v="East"/>
    <s v="Matthew Pollock"/>
    <s v="M Pollock"/>
    <x v="2"/>
    <s v="French"/>
    <s v="7"/>
    <s v="7"/>
    <m/>
    <s v="8"/>
    <m/>
    <m/>
    <m/>
    <m/>
    <m/>
    <m/>
    <m/>
    <s v="7"/>
    <m/>
    <s v="8"/>
    <m/>
    <x v="0"/>
    <s v="Parce ce que NBIN represent un des meilleurs choix sur le marcher."/>
    <s v="Je dirai reputation.   Soliditer financieres.   Leader dans sont industrie."/>
    <s v="Les delai dans les requettes, de demande de l&quot;information. Sont assez long.   Un meilleur soutien ou support avec l'application croesus.   Ameliorer l'application de fichiers SFTP."/>
  </r>
  <r>
    <n v="931"/>
    <s v="Yes, respondent consents"/>
    <s v="PM"/>
    <s v="Senior Admin"/>
    <s v="PM Ontario"/>
    <s v="Ont"/>
    <s v="Todd Brennand"/>
    <s v="T Brennand"/>
    <x v="0"/>
    <s v="English"/>
    <s v="8"/>
    <s v="9"/>
    <m/>
    <s v="9"/>
    <m/>
    <s v="A better experience with NBIN"/>
    <s v="I think NBIN offers more options with its application, the other custodians I deal with but very limited."/>
    <m/>
    <m/>
    <s v="8"/>
    <m/>
    <s v="8"/>
    <m/>
    <s v="9"/>
    <m/>
    <x v="0"/>
    <s v="I guess we've had an overall good experience with NBIN. It meets all of our needs for the most part and our client needs as well."/>
    <s v="I guess there applications they offer wide range of services.   They're very professional and courteous.   Basically the service they provide is convenient and well provided to us  as the institutional client and our mutual clients as well."/>
    <s v="I guess communication regarding questions and situations when trying to reach NBIN services, not sure if more people are needed to cover that area.   Turn around time for responses to queries.   One issue we have is finding answers on Compass. If more information could be available for Compass on common problems."/>
  </r>
  <r>
    <n v="1084"/>
    <s v="Yes, respondent consents"/>
    <s v="IB"/>
    <s v="Senior Admin"/>
    <s v="IB East"/>
    <s v="East"/>
    <s v="Han Tran"/>
    <s v="Han Tran"/>
    <x v="1"/>
    <s v="English"/>
    <s v="8"/>
    <s v="7"/>
    <m/>
    <m/>
    <m/>
    <m/>
    <m/>
    <m/>
    <m/>
    <s v="7"/>
    <m/>
    <s v="8"/>
    <m/>
    <s v="8"/>
    <m/>
    <x v="6"/>
    <s v="Just overall relationship with NBIN over the years. It would have been higher if the fees weren't renegotiated the way they were."/>
    <s v="Relationship management.   Attention to detail.   Execution."/>
    <s v="Transparency.   Fees.   Proactiveness."/>
  </r>
  <r>
    <n v="933"/>
    <s v="Yes, respondent consents"/>
    <s v="PM"/>
    <s v="Principal/Executive"/>
    <s v="PM East"/>
    <s v="East"/>
    <s v="Matthew Pollock"/>
    <s v="M Pollock"/>
    <x v="0"/>
    <s v="English"/>
    <s v="9"/>
    <s v="8"/>
    <m/>
    <s v="9"/>
    <m/>
    <m/>
    <m/>
    <m/>
    <m/>
    <s v="7"/>
    <m/>
    <s v="9"/>
    <m/>
    <s v="9"/>
    <m/>
    <x v="0"/>
    <s v="NBIN is the best option that Im aware of"/>
    <s v="Their technology platform is better than other custodians.   The response team/service team is excellent.   Curtosy and proffessionalism."/>
    <s v="The trading fees are too high.   The custody fees are too high.   The response time in email box should be faster."/>
  </r>
  <r>
    <n v="1096"/>
    <s v="Yes, respondent consents"/>
    <s v="PM"/>
    <s v="Senior Admin"/>
    <s v="PM Ontario"/>
    <s v="Ont"/>
    <s v="Todd Brennand"/>
    <s v="T Brennand"/>
    <x v="1"/>
    <s v="English"/>
    <s v="8"/>
    <s v="9"/>
    <m/>
    <s v="7"/>
    <m/>
    <s v="A similar experience"/>
    <m/>
    <m/>
    <m/>
    <s v="10 - Extremely satisfied"/>
    <m/>
    <s v="7"/>
    <m/>
    <s v="7"/>
    <m/>
    <x v="6"/>
    <s v="I have no comment."/>
    <m/>
    <s v="They need to work on the timeliness of their responses.   When responding with a solution, or solution has been completed.  They need to check to see that's actually happened."/>
  </r>
  <r>
    <n v="1110"/>
    <s v="No, respondent does not consent"/>
    <s v="IB"/>
    <s v="Principal/Executive"/>
    <s v="IB Ontario"/>
    <s v="Ont"/>
    <s v="Michele Hansson"/>
    <s v="Michele Hansson"/>
    <x v="1"/>
    <s v="English"/>
    <s v="8"/>
    <m/>
    <m/>
    <s v="7"/>
    <m/>
    <m/>
    <m/>
    <m/>
    <m/>
    <m/>
    <m/>
    <s v="8"/>
    <m/>
    <s v="8"/>
    <m/>
    <x v="6"/>
    <s v="It depends on needs and size of the organization. If they were more similar to ours, I would recommend NBIN."/>
    <s v="Industry knowledge   Access to specialty subgroups   The number of clients they have that are similar to our business profile."/>
    <s v="The current service model channels all requests through the service teams slows down responsiveness.   technol the use to track progr of req - needs to be mre robust   access to people in specialty grps"/>
  </r>
  <r>
    <n v="938"/>
    <s v="No, respondent does not consent"/>
    <s v="PM"/>
    <s v="Senior Admin"/>
    <s v="PM Ontario"/>
    <s v="Ont"/>
    <s v="Paulo Demarco"/>
    <s v="Paulo Demarco"/>
    <x v="3"/>
    <s v="English"/>
    <s v="5"/>
    <s v="DNK/NOT APPLICABLE"/>
    <m/>
    <s v="8"/>
    <m/>
    <m/>
    <m/>
    <s v="3"/>
    <s v="length of time for settlement and the disjointed technical system we have to use -the MyRequest system through Compass and the reason is that my request status can only be seen by the person working on it but my co workers working on it in my absence cannot see information - so its a clunker especially if we are both working on the same estate."/>
    <s v="7"/>
    <m/>
    <s v="8"/>
    <m/>
    <s v="9"/>
    <m/>
    <x v="2"/>
    <s v="I dont think anything is perfect so they wont get a perfect score from  me"/>
    <s v="The speed of processing day to day client transactions like electronics funds out to peoples accounts- any daily  money transactions related to our clients money accounts is a smooth process   Resource info available on Compass is good such as Registerd Plans and new account applications   sale of securites is also a seamless process"/>
    <s v="Communication is slow -we used to use a pm support group so if i had a specific question (I as a client) could go directly to them   They have eliminated the single point of process for us and so now we have to go to multiple departments instead of one point of contact   For the whole area of estate there is a need for more resources for clients- they need to train us in how to have a smooth estate settlement process."/>
  </r>
  <r>
    <n v="939"/>
    <s v="No, respondent does not consent"/>
    <s v="PM"/>
    <s v="Principal/Executive"/>
    <s v="PM Ontario"/>
    <s v="Ont"/>
    <s v="Todd Brennand"/>
    <s v="T Brennand"/>
    <x v="2"/>
    <s v="English"/>
    <s v="7"/>
    <s v="9"/>
    <m/>
    <s v="9"/>
    <m/>
    <s v="A better experience with NBIN"/>
    <s v="NBIN is easier to use. The access to client data more seamless."/>
    <s v="4"/>
    <s v="Difficulty in contacting people actually working on a file. Delay in processing distributions to beneficiers"/>
    <s v="8"/>
    <m/>
    <m/>
    <m/>
    <s v="8"/>
    <m/>
    <x v="2"/>
    <s v="The service is very reliable. I value that and recommend that to someone else."/>
    <s v="reliability   service professionalism   customer interface"/>
    <s v="access to trading personel   access to estate department personel"/>
  </r>
  <r>
    <n v="944"/>
    <s v="Yes, respondent consents"/>
    <s v="PM"/>
    <s v="Principal/Executive"/>
    <s v="PM Ontario"/>
    <s v="Ont"/>
    <s v="Paulo Demarco"/>
    <s v="Paulo Demarco"/>
    <x v="0"/>
    <s v="English"/>
    <s v="9"/>
    <s v="9"/>
    <m/>
    <s v="7"/>
    <m/>
    <m/>
    <m/>
    <s v="7"/>
    <m/>
    <s v="7"/>
    <m/>
    <s v="8"/>
    <m/>
    <s v="8"/>
    <m/>
    <x v="2"/>
    <s v="A good experience with NBIN. I very often know the people I am working with. I have some control and say in how things are done for my clients. I trust them."/>
    <s v="consistency   accountability   Willingness to help us solve problems."/>
    <s v="The technology stack   Investing in the next layer of employees who have contact with firms directly.   Getting better matched at new issues in stocks and fixed income."/>
  </r>
  <r>
    <n v="1118"/>
    <s v="Yes, respondent consents"/>
    <s v="PM"/>
    <s v="Senior Admin"/>
    <s v="PM Ontario"/>
    <s v="Ont"/>
    <s v="Paulo Demarco"/>
    <s v="Paulo Demarco"/>
    <x v="1"/>
    <s v="English"/>
    <s v="7"/>
    <s v="10 - Extremely satisfied"/>
    <m/>
    <s v="10 - Extremely satisfied"/>
    <m/>
    <m/>
    <m/>
    <s v="8"/>
    <m/>
    <s v="8"/>
    <m/>
    <s v="7"/>
    <m/>
    <s v="5"/>
    <s v="I don't think their monthly reporting is clear or easy to understand."/>
    <x v="6"/>
    <s v="I think NBIN has the most comprehensive custodian services available, with the best online tools at this point. Generally, I found NBIN shows a willingness to work with us if we have issues or if we need something different than their current offering."/>
    <s v="I think they have the most comprehensive package or offering for custodial services.   They seem to genuinely want to help find solutions for our firm or for our end clients.   The quality of the responses or the information is typically very good."/>
    <s v="Sometimes, their response time can be really slow.   With some things, particularly related to estates, they can be quite inflexible.   Sometimes, it's really unclear which department we should be reaching out to."/>
  </r>
  <r>
    <n v="1143"/>
    <s v="Yes, respondent consents"/>
    <s v="PM"/>
    <s v="Senior Admin"/>
    <s v="PM Ontario"/>
    <s v="Ont"/>
    <s v="Paulo Demarco"/>
    <s v="Paulo Demarco"/>
    <x v="1"/>
    <s v="English"/>
    <s v="6"/>
    <m/>
    <m/>
    <m/>
    <m/>
    <m/>
    <m/>
    <m/>
    <m/>
    <s v="8"/>
    <m/>
    <s v="8"/>
    <m/>
    <s v="9"/>
    <m/>
    <x v="6"/>
    <s v="NBIN, they're good at the custodial, but getting assistance from the back office is very difficult. No one is available most of the time and if they do get back to you it takes days to get back to you. They've recently had the extreme line services. Different teams do different services, its worse, its supposed to have gotten better, but its gotten worse. It takes three days to a week to get back to us."/>
    <s v="They're good with the online services provided to clients.   Accuracy, they don't usually have allot of mistakes."/>
    <s v="The client services department- being able to reach  people when we need assistance.   Being able to get services quicker, like within the same day. Being able to reach someone the same day.   When we do get assistance , the staff needs to be more knowledgeable."/>
  </r>
  <r>
    <n v="950"/>
    <s v="Yes, respondent consents"/>
    <s v="PM"/>
    <s v="Senior Admin"/>
    <s v="PM East"/>
    <s v="East"/>
    <s v="Matthew Pollock"/>
    <s v="M Pollock"/>
    <x v="3"/>
    <s v="English"/>
    <s v="7"/>
    <s v="10 - Extremely satisfied"/>
    <m/>
    <s v="7"/>
    <m/>
    <s v="A better experience with NBIN"/>
    <s v="The offering is superior and and far more intuitive."/>
    <s v="7"/>
    <m/>
    <s v="9"/>
    <m/>
    <s v="6"/>
    <s v="It is based on the quality of initial response we get to requests. Which ties into NBIN being proactive, finding solutions and so forth."/>
    <s v="9"/>
    <m/>
    <x v="0"/>
    <s v="I appreciate the brokerage/custody service. and the quality of the fund and trading team. I like Mathew Pollick."/>
    <s v="The trading fund team and their ability to innovate and adapt to the times."/>
    <s v="The general service team could familiarize themselves with their portfolio management clients.   They have a new system with multi departments. Request get fielded to the departments and as result there is a lot of bouncing around when something falls into a grey zone.   I would encourage them not use chat GTP to respond to emails on delicate issues. A well written Chat response can be frustrating. More direct communication would be preferred."/>
  </r>
  <r>
    <n v="951"/>
    <s v="Yes, respondent consents"/>
    <s v="PM"/>
    <s v="Principal/Executive"/>
    <s v="PM Ontario"/>
    <s v="Ont"/>
    <s v="Paulo Demarco"/>
    <s v="Paulo Demarco"/>
    <x v="3"/>
    <s v="English"/>
    <s v="6"/>
    <m/>
    <m/>
    <m/>
    <m/>
    <m/>
    <m/>
    <s v="4"/>
    <s v="vague slow responses"/>
    <s v="7"/>
    <m/>
    <s v="4"/>
    <s v="slow responses and delayed solutions"/>
    <s v="6"/>
    <s v="clients barely use it - they have other reporting services"/>
    <x v="4"/>
    <s v="they are big and okay"/>
    <s v="big friendly care about client   none   none"/>
    <s v="better quality  staff   consistancy of people relationships   faster turnaround"/>
  </r>
  <r>
    <n v="952"/>
    <s v="No, respondent does not consent"/>
    <s v="PM"/>
    <s v="Senior Admin"/>
    <s v="PM Pacific"/>
    <s v="Pacific"/>
    <s v="Han Tran"/>
    <s v="Han Tran"/>
    <x v="3"/>
    <s v="English"/>
    <s v="3"/>
    <m/>
    <m/>
    <s v="6"/>
    <s v="The servicing tool is good. The onbroad tool - I'm not a fan of. We have to use a third part app CRESIS (sp?) and I'm not a fan of it. We up doing our own tax documents - which other custodians provide and it leads to omissions. We have to download documents. NBIN is more of a self service custodian. We have to do everything ourselves."/>
    <s v="It depends"/>
    <s v="No"/>
    <m/>
    <m/>
    <s v="8"/>
    <m/>
    <s v="6"/>
    <s v="The servicing is a good program/application - I'd probably give that an 8 or 9. I do not like onboarding app and would probably give that a 4. I'd probably give their ability to reach out to people a 2. So it comes out to a 6 overall."/>
    <s v="DNK/NOT APPLICABLE"/>
    <m/>
    <x v="7"/>
    <s v="They are just not the easiest costodians to work with."/>
    <s v="They have a good interspace for reviewing client accounts.   A good servicing platform.   No others."/>
    <s v="Bring back account managers, a central point of contact.   Full tax packages   They rely to heavily on systems and they do not have people to reach out to, this where they fall short in comparison to other custodians."/>
  </r>
  <r>
    <n v="958"/>
    <s v="Yes, respondent consents"/>
    <s v="PM"/>
    <s v="Senior Admin"/>
    <s v="PM Ontario"/>
    <s v="Ont"/>
    <s v="Todd Brennand"/>
    <s v="T Brennand"/>
    <x v="2"/>
    <s v="English"/>
    <s v="4"/>
    <s v="8"/>
    <m/>
    <s v="8"/>
    <m/>
    <s v="A similar experience"/>
    <m/>
    <s v="7"/>
    <m/>
    <s v="4"/>
    <s v="The transfer request on their end did not have right coding. They are not following up quickly on rejections."/>
    <s v="7"/>
    <m/>
    <s v="7"/>
    <m/>
    <x v="4"/>
    <s v="Because we are already using them and have a previous relationship. This would help in recommending them to other people."/>
    <s v="They are acting as custodian for our clients."/>
    <s v="Communication   Getting me to a specific person to answer the question I have. The answers are too general. Many times the person does not have answer. It is taking too long to get the answers I need. Getting ahold of them when takes too long. They do not respond to my emails quickly."/>
  </r>
  <r>
    <n v="964"/>
    <s v="No, respondent does not consent"/>
    <s v="PM"/>
    <s v="Senior Admin"/>
    <s v="PM Ontario"/>
    <s v="Ont"/>
    <s v="Paulo Demarco"/>
    <s v="Paulo Demarco"/>
    <x v="0"/>
    <s v="English"/>
    <s v="8"/>
    <s v="9"/>
    <m/>
    <s v="9"/>
    <m/>
    <m/>
    <m/>
    <s v="7"/>
    <m/>
    <s v="8"/>
    <m/>
    <s v="8"/>
    <m/>
    <s v="8"/>
    <m/>
    <x v="2"/>
    <s v="Nothing specific, there is no perfect score for me."/>
    <s v="The platform in NetRep.   IMOST platform."/>
    <s v="None that I could think of at the moment."/>
  </r>
  <r>
    <n v="965"/>
    <s v="No, respondent does not consent"/>
    <s v="PM"/>
    <s v="Senior Admin"/>
    <s v="PM West"/>
    <s v="West"/>
    <s v="Michele Hansson"/>
    <s v="Michele Hansson"/>
    <x v="0"/>
    <s v="English"/>
    <s v="7"/>
    <s v="9"/>
    <m/>
    <s v="6"/>
    <s v="Some of it is dated. When they update or make changes it is rare that their isn't an issue. Some of the offerings are manual and not automated such as FHSA."/>
    <m/>
    <m/>
    <s v="6"/>
    <s v="Lack of knowledge and inconsistency in responses and requirements."/>
    <s v="8"/>
    <m/>
    <s v="7"/>
    <m/>
    <s v="8"/>
    <m/>
    <x v="3"/>
    <s v="The competition is catching up with better technolgy offerings and quicker in terms customer requirements. Some other firms have better ability to make us look better."/>
    <s v="Their supportive community and getting out here and being present.   Communication to the firm has been increasing.   They are open to making changes to their organizational structure to make it better."/>
    <s v="Finding a way for staff to provide consistent responses.   Improvements to technology for better automation and  better and more automation.   Quicker turn around times in terms of servicing."/>
  </r>
  <r>
    <n v="972"/>
    <s v="No, respondent does not consent"/>
    <s v="PM"/>
    <s v="Principal/Executive"/>
    <s v="PM Ontario"/>
    <s v="Ont"/>
    <s v="Todd Brennand"/>
    <s v="T Brennand"/>
    <x v="2"/>
    <s v="English"/>
    <s v="2"/>
    <s v="8"/>
    <m/>
    <s v="9"/>
    <m/>
    <m/>
    <m/>
    <s v="4"/>
    <s v="Lack of timeliness, response and information"/>
    <s v="7"/>
    <m/>
    <s v="6"/>
    <s v="Accuracy and information received. Timeliness of information received. Lack of responsiveness. I have to set a reminder in my calender because they never get back to you. The timeliness in the service level, in turning things around is quite slow. My sense is that the assumption is that you are responsible for following up not the other way around; that they are responsible."/>
    <s v="6"/>
    <s v="Lack of availability of reports."/>
    <x v="5"/>
    <s v="The technology meets the needs but responsiveness, timelines, accuracy, the service customer service is lacking."/>
    <s v="technology"/>
    <s v="Reduced turn over for staff   Training customer service staff. Sometimes I call and get the wrong answer   Timeliness and responsiveness. The mindset and culture as well; they are not responsive and the timeline. Some understanding that we are working in a second by second environment."/>
  </r>
  <r>
    <n v="1146"/>
    <s v="Yes, respondent consents"/>
    <s v="IB"/>
    <s v="Senior Admin"/>
    <s v="IB East"/>
    <s v="East"/>
    <s v="Han Tran"/>
    <s v="Han Tran"/>
    <x v="1"/>
    <s v="English"/>
    <s v="8"/>
    <s v="8"/>
    <m/>
    <m/>
    <m/>
    <m/>
    <m/>
    <s v="5"/>
    <s v="In last 12 month estates has been consistenly behind SLA. During first half of fiscal year the service model was indirect therefore hard to communicate with estates. It has improved in 2026 - NBIN has moved to direct service model. However Esates is still consistently behind SLA."/>
    <s v="6"/>
    <s v="They changed models from direct to indirect. Non ATON transfers have been behind the service level agreement. However communication has improved."/>
    <m/>
    <m/>
    <s v="8"/>
    <m/>
    <x v="6"/>
    <s v="NBIN is willing to listen to needs of clients however I would not say they are as proactive as they could be."/>
    <s v="Willingness to listen   mutual fund trading system   people"/>
    <s v="proactivity   more personalized service   timely communication"/>
  </r>
  <r>
    <n v="1151"/>
    <s v="No, respondent does not consent"/>
    <s v="PM"/>
    <s v="Senior Admin"/>
    <s v="PM West"/>
    <s v="West"/>
    <s v="Matthew Pollock"/>
    <s v="M Pollock"/>
    <x v="1"/>
    <s v="English"/>
    <s v="7"/>
    <m/>
    <m/>
    <s v="8"/>
    <m/>
    <s v="A better experience with NBIN"/>
    <s v="Their technology is easier to navigate. Accessing data is simpler Easier access to client reporting including tax reporting."/>
    <s v="7"/>
    <m/>
    <s v="5"/>
    <s v="We have had a number of issues: There have been delays of residual funds. Instances of insurance being accepted incorrectly. Actions taken incorrectly. The general knowledge of the transfer team with understanding the validity of transfer instructions they are receiving."/>
    <s v="8"/>
    <m/>
    <s v="6"/>
    <s v="I dont think the do enough for year end reporting, enhanced tax reporting outside of bare minimum as required by the CRA. Other custodians put together a package. NBIN is lacking in this area."/>
    <x v="6"/>
    <s v="They would normally be my go to for a recommendation. But with some of the challenges with transfers and account administration make me hesitant. Otherwise they would be my number one recommendation."/>
    <s v="cost   technology   relationship"/>
    <s v="transfers   Year end tax packages and reporting   General staffing knowledge and understanding of their relationships"/>
  </r>
  <r>
    <n v="978"/>
    <s v="Yes, respondent consents"/>
    <s v="IB"/>
    <s v="Principal/Executive"/>
    <s v="IB Ontario"/>
    <s v="Ont"/>
    <s v="Nick Sarazin"/>
    <s v="Nick Sarazin"/>
    <x v="0"/>
    <s v="English"/>
    <s v="6"/>
    <s v="10 - Extremely satisfied"/>
    <m/>
    <m/>
    <m/>
    <m/>
    <m/>
    <m/>
    <m/>
    <s v="5"/>
    <s v="Too many clerical data input errors. Sloppy input by the transfers department."/>
    <s v="6"/>
    <s v="Too many clecical error and data input error resulting in too many errors requiring additional time and follow up."/>
    <s v="10 - Extremely satisfied"/>
    <m/>
    <x v="6"/>
    <s v="There are not alot of other options out there. I am unfamiliar with other offerings. I am not going to put my clients through another conversion."/>
    <s v="trading services   reporting"/>
    <s v="data input   communication   response time for inquiries"/>
  </r>
  <r>
    <n v="984"/>
    <s v="Yes, respondent consents"/>
    <s v="PM"/>
    <s v="Principal/Executive"/>
    <s v="PM Ontario"/>
    <s v="Ont"/>
    <s v="Todd Brennand"/>
    <s v="T Brennand"/>
    <x v="2"/>
    <s v="English"/>
    <s v="8"/>
    <s v="10 - Extremely satisfied"/>
    <m/>
    <s v="8"/>
    <m/>
    <s v="A similar experience"/>
    <m/>
    <m/>
    <m/>
    <s v="10 - Extremely satisfied"/>
    <m/>
    <s v="10 - Extremely satisfied"/>
    <m/>
    <s v="9"/>
    <m/>
    <x v="0"/>
    <s v="Todd. The guy we deal with, he's our VP in charge and we like him very much. He is responsible. Their service team needs some upgrading, they are not as knowledgeable. Todd gets everything done, we like him. We trust him. We never have a singular contact to call for a particular issue, we have to go through various departments. We never get the same person, slow reaction from the client service area is inconsistent."/>
    <s v="Month end reporting.   Trading.   Trusting Todd."/>
    <s v="Better compass.   More consistent contact with the service area.   On the trading platform , have bid and ask price."/>
  </r>
  <r>
    <n v="986"/>
    <s v="No, respondent does not consent"/>
    <s v="PM"/>
    <s v="Principal/Executive"/>
    <s v="PM Ontario"/>
    <s v="Ont"/>
    <s v="Paulo Demarco"/>
    <s v="Paulo Demarco"/>
    <x v="2"/>
    <s v="English"/>
    <s v="8"/>
    <m/>
    <m/>
    <s v="7"/>
    <m/>
    <s v="A better experience with NBIN"/>
    <s v="The ease of use of the technology"/>
    <m/>
    <m/>
    <s v="7"/>
    <m/>
    <s v="8"/>
    <m/>
    <s v="6"/>
    <s v="We have had a few issues with incorrect security pricing that led to incorrect values on clients statements"/>
    <x v="6"/>
    <s v="My experience overall has been very positive and feel very inclined to give that reference/recommendation"/>
    <s v="technology   Their willing to proactively communicate   Their willingness to search for creative solutions"/>
    <s v="Ensuring that securities pricing is accurate"/>
  </r>
  <r>
    <n v="987"/>
    <s v="No, respondent does not consent"/>
    <s v="PM"/>
    <s v="Senior Admin"/>
    <s v="PM Ontario"/>
    <s v="Ont"/>
    <s v="Paulo Demarco"/>
    <s v="Paulo Demarco"/>
    <x v="0"/>
    <s v="English"/>
    <s v="9"/>
    <s v="10 - Extremely satisfied"/>
    <m/>
    <s v="9"/>
    <m/>
    <m/>
    <m/>
    <m/>
    <m/>
    <s v="10 - Extremely satisfied"/>
    <m/>
    <s v="9"/>
    <m/>
    <s v="9"/>
    <m/>
    <x v="0"/>
    <s v="The people I have dealt with are good. The 9's are where I am less satisfied. I am mostly satisfied with the services when I called. The 9 is more because the response was - go look it up on web - which is something I had already done."/>
    <s v="Mostly, their employees are well trained   When you do need to escalate - the director is fantastic   Communications are good. I feel like they communicate well. Given the massive change in the way they working, they have made it as easy on the client as possible."/>
    <s v="Being a bit more responsive on emails going into various inboxes. It takes a while and the responses could be quicker."/>
  </r>
  <r>
    <n v="998"/>
    <s v="Yes, respondent consents"/>
    <s v="IFM"/>
    <s v="Principal/Executive"/>
    <s v="PM Ontario"/>
    <s v="Ont"/>
    <s v="Todd Brennand"/>
    <s v="T Brennand"/>
    <x v="0"/>
    <s v="English"/>
    <s v="8"/>
    <s v="8"/>
    <m/>
    <m/>
    <m/>
    <m/>
    <m/>
    <m/>
    <m/>
    <m/>
    <m/>
    <m/>
    <m/>
    <s v="DNK/NOT APPLICABLE"/>
    <m/>
    <x v="2"/>
    <s v="They have generally been quite responsive. When ever I needed something they have generally accomodated what I need. The pricing is competitive."/>
    <s v="client service   ease of communication and responsiveness   competitive pricing"/>
    <s v="Being flexible and quick when accommodating non-standard requests - meaning moving out of their rigid box."/>
  </r>
  <r>
    <n v="1208"/>
    <s v="No, respondent does not consent"/>
    <s v="PM"/>
    <s v="Principal/Executive"/>
    <s v="PM East"/>
    <s v="East"/>
    <s v="Matthew Pollock"/>
    <s v="M Pollock"/>
    <x v="1"/>
    <s v="French"/>
    <s v="7"/>
    <m/>
    <m/>
    <s v="9"/>
    <m/>
    <s v="A better experience with NBIN"/>
    <s v="faciliter d'utisation des outils et  navigation intuitive"/>
    <s v="7"/>
    <m/>
    <s v="8"/>
    <m/>
    <m/>
    <m/>
    <s v="7"/>
    <m/>
    <x v="6"/>
    <s v="Expertise developper depuis plusieurs annees a servir les gestionnaires independants.Qualite globale du service et l'engagement des employees"/>
    <s v="les solutions technologues   l'offre de service   l'engagement des employees"/>
    <s v="Embauche de personnel   none   none"/>
  </r>
  <r>
    <n v="1004"/>
    <s v="No, respondent does not consent"/>
    <s v="PM"/>
    <s v="Senior Admin"/>
    <s v="PM East"/>
    <s v="East"/>
    <s v="Matthew Pollock"/>
    <s v="M Pollock"/>
    <x v="0"/>
    <s v="English"/>
    <s v="7"/>
    <s v="10 - Extremely satisfied"/>
    <m/>
    <s v="8"/>
    <m/>
    <s v="A worse experience with NBIN"/>
    <s v="The platform does not connect properly. Tasks are not updated. Bookings and multiple requests and activity are not accepted through Imost. There are constant problems with technical requests."/>
    <m/>
    <m/>
    <m/>
    <m/>
    <m/>
    <m/>
    <s v="10 - Extremely satisfied"/>
    <m/>
    <x v="7"/>
    <s v="The same errors keep repeating each time for multiple requests."/>
    <s v="The platforms are very good."/>
    <s v="There have not been significant technological improvements. The help guide is still not useful."/>
  </r>
  <r>
    <n v="1214"/>
    <s v="No, respondent does not consent"/>
    <s v="PM"/>
    <s v="Senior Admin"/>
    <s v="PM Ontario"/>
    <s v="Ont"/>
    <s v="Paulo Demarco"/>
    <s v="Paulo Demarco"/>
    <x v="1"/>
    <s v="English"/>
    <s v="3"/>
    <m/>
    <m/>
    <s v="8"/>
    <m/>
    <s v="A better experience with NBIN"/>
    <s v="Since they made the changes there is no main contact and it is worse than others. You have to talk to a department instead of a person"/>
    <m/>
    <m/>
    <m/>
    <m/>
    <s v="2"/>
    <s v="When you contact a department you are waiting and waiting. You have to follow up they dont come to you. It can take a full day to 2 days to get an answer to ta question."/>
    <s v="9"/>
    <m/>
    <x v="6"/>
    <s v="The web site is user friendly"/>
    <s v="The web site"/>
    <s v="Get rid of those departments and give us a client services person to deal with"/>
  </r>
  <r>
    <n v="1008"/>
    <s v="Yes, respondent consents"/>
    <s v="PM"/>
    <s v="Principal/Executive"/>
    <s v="PM East"/>
    <s v="East"/>
    <s v="Matthew Pollock"/>
    <s v="M Pollock"/>
    <x v="0"/>
    <s v="English"/>
    <s v="7"/>
    <m/>
    <m/>
    <m/>
    <m/>
    <m/>
    <m/>
    <m/>
    <m/>
    <s v="7"/>
    <m/>
    <m/>
    <m/>
    <s v="8"/>
    <m/>
    <x v="2"/>
    <s v="Generally satisfied all around with their services."/>
    <s v="Their technology.   Entire suite of services."/>
    <s v="Their ability to contact them, sometimes long delay to reach them."/>
  </r>
  <r>
    <n v="1009"/>
    <s v="Yes, respondent consents"/>
    <s v="PM"/>
    <s v="Senior Admin"/>
    <s v="PM Pacific"/>
    <s v="Pacific"/>
    <s v="Han Tran"/>
    <s v="Han Tran"/>
    <x v="2"/>
    <s v="English"/>
    <s v="9"/>
    <s v="10 - Extremely satisfied"/>
    <m/>
    <s v="8"/>
    <m/>
    <m/>
    <m/>
    <s v="3"/>
    <s v="They do not move very quickly, on the whole on issues of handing and wrapping up estates. The information is not consist from case to case."/>
    <s v="8"/>
    <m/>
    <s v="8"/>
    <m/>
    <s v="8"/>
    <m/>
    <x v="2"/>
    <s v="On the whole NBIN is the largest third party custodian. They are a very good operation."/>
    <s v="The relative ease of getting new clients set up   The relative ease of handling new clients situations   Really good order execution"/>
    <s v="Cleaning up the estates department, which is something I have been saying for some time."/>
  </r>
  <r>
    <n v="1319"/>
    <s v="Yes, respondent consents"/>
    <s v="IB"/>
    <s v="Principal/Executive"/>
    <s v="IB East"/>
    <s v="East"/>
    <s v="Han Tran"/>
    <s v="Han Tran"/>
    <x v="1"/>
    <s v="English"/>
    <s v="8"/>
    <m/>
    <m/>
    <s v="8"/>
    <m/>
    <m/>
    <m/>
    <m/>
    <m/>
    <s v="9"/>
    <m/>
    <m/>
    <m/>
    <s v="8"/>
    <m/>
    <x v="6"/>
    <s v="There is a very high level of professionalism with the people I deal with at NBIN. However they hace consistently been behind with deliverables especially  when it comes to the deadlines they have established. We have literally joke about this with them and at times just asked for to tell us honestly when it will be available. If we tell our advisors something that is not correct it makes us look bad."/>
    <s v="The people they hire   The professionalism of the organization and the good people they hire. It is pleasure to deal with with them and they set a high standard in this regard.   They are the devil we know. It would be too complicated to switch."/>
    <s v="Study and emulate the best custodians in US and what they are doing.   Dramatically improve the support they provide for the UMA platform.   There are still too many operational functions that require 2 steps instead of one. Some of the advisors we recruit tell us that they have worked with other custodians where things can be done in one step. There is uneccessary complexity. We have reccomended this to them."/>
  </r>
  <r>
    <n v="1336"/>
    <s v="Yes, respondent consents"/>
    <s v="IB"/>
    <s v="Principal/Executive"/>
    <s v="IB East"/>
    <s v="East"/>
    <s v="Han Tran"/>
    <s v="Han Tran"/>
    <x v="1"/>
    <s v="English"/>
    <s v="7"/>
    <s v="9"/>
    <m/>
    <s v="7"/>
    <m/>
    <m/>
    <m/>
    <s v="6"/>
    <s v="Our clientel are of a high net worth. They are expecting higher level of service and transactions. NBIN is below what they expect for speed and flexibility."/>
    <s v="7"/>
    <m/>
    <s v="7"/>
    <m/>
    <s v="7"/>
    <m/>
    <x v="6"/>
    <s v="They are meeting our needs. Having spoken to colleagues who use other custodians they experience frustrations that are very similar. Yet we also benefit from their scale and brand and being attached to a fixed bank. We sometimes joke that they are the best of the worst. No one expects perfect service. Custodians are not easy service to provide."/>
    <s v="Communication. They are able to respond but are not perfect. They would do well to get back to us quicker and engage.   Their scale is benefical and being attached to bank with their resources.   They have a lot of consistency in management at the top level and that is something we rely on."/>
    <s v="Find ways to be more flexible and continue to adapt to our unique needs.   Put our needs first in how to adapt, flexibility.   Creativity. Always looking for ways to adapt our services, bring things to our attention and be more proactive."/>
  </r>
  <r>
    <n v="810"/>
    <s v="Yes, respondent consents"/>
    <s v="IB"/>
    <s v="Senior Admin"/>
    <s v="IB Ontario"/>
    <s v="Ont"/>
    <s v="Nick Sarazin"/>
    <s v="Nick Sarazin"/>
    <x v="1"/>
    <s v="English"/>
    <s v="5"/>
    <m/>
    <m/>
    <m/>
    <m/>
    <m/>
    <m/>
    <s v="8"/>
    <m/>
    <m/>
    <m/>
    <s v="7"/>
    <m/>
    <s v="9"/>
    <m/>
    <x v="4"/>
    <s v="I think their technology needs improvement. The service has been improving but still needs improvement. This year, there were a lot of challenges with the changes to their service model. I can see improvements but they are not there yet."/>
    <m/>
    <s v="More knowledgable staff   Improvements in technology.   Promptness in getting back to us."/>
  </r>
  <r>
    <n v="851"/>
    <s v="No, respondent does not consent"/>
    <s v="IB"/>
    <s v="Principal/Executive"/>
    <s v="IB East"/>
    <s v="East"/>
    <s v="Han Tran"/>
    <s v="Han Tran"/>
    <x v="1"/>
    <s v="English"/>
    <s v="6"/>
    <m/>
    <m/>
    <m/>
    <m/>
    <m/>
    <m/>
    <m/>
    <m/>
    <m/>
    <m/>
    <m/>
    <m/>
    <s v="DNK/NOT APPLICABLE"/>
    <m/>
    <x v="4"/>
    <s v="They have the actual infrastructure and expertise. They could do a better job in servicing those accounts. They have cut back. When things go sideways it is it is difficult. They need to up their game in servicing. The account managers have a lot on plate and cant service when things go arie."/>
    <s v="good infrastructure   Reliability. They dont have outages."/>
    <s v="The account managers need better support. They can answer about 60% but struggle on the remaining 40%.   Pricing value. Given the services that I am asking for, I'm in awe that I am being charged for tiny bits of information. I feel like I'm being nicked and dimed, for example the CRM Reports. I'm being charged for information they already have."/>
  </r>
  <r>
    <n v="858"/>
    <s v="No, respondent does not consent"/>
    <s v="PM"/>
    <s v="Senior Admin"/>
    <s v="PM East"/>
    <s v="East"/>
    <s v="Matthew Pollock"/>
    <s v="M Pollock"/>
    <x v="1"/>
    <s v="French"/>
    <s v="7"/>
    <m/>
    <m/>
    <s v="7"/>
    <m/>
    <s v="A better experience with NBIN"/>
    <s v="Le service je peut l'avoire en francais."/>
    <s v="8"/>
    <m/>
    <s v="7"/>
    <m/>
    <s v="6"/>
    <s v="Le delai pour ouvrir une compte. Trop long, est le temp pour repondre a notre question."/>
    <s v="8"/>
    <m/>
    <x v="4"/>
    <s v="Je dirai pour les employee, pour les personnes responsable qui a le coeur a la firme."/>
    <s v="J'ai rien."/>
    <s v="Le temps de repondre.   Ameliorer la platforme aussie NetRep.   Amelioration de platformes onboarding de l'integration."/>
  </r>
  <r>
    <n v="1028"/>
    <s v="No, respondent does not consent"/>
    <s v="PM"/>
    <s v="Senior Admin"/>
    <s v="PM Ontario"/>
    <s v="Ont"/>
    <s v="Paulo Demarco"/>
    <s v="Paulo Demarco"/>
    <x v="2"/>
    <s v="English"/>
    <s v="7"/>
    <m/>
    <m/>
    <s v="7"/>
    <m/>
    <m/>
    <m/>
    <s v="10 - Extremely satisfied"/>
    <m/>
    <s v="7"/>
    <m/>
    <s v="7"/>
    <m/>
    <s v="8"/>
    <m/>
    <x v="2"/>
    <s v="When talking about this I'm think of the competition. In the past, I have given praise to NBIN. We just consolidated some business and there has been so much efficiency. There have also been a lot of hiccups, some iss technological glitches, some transfers being posted inccorrectly. There have been distributions being posted incorrectly, payments not going out payments not going out and knowledge gaps in the specialized teams."/>
    <s v="The self service model.   Reliable escalation contacts."/>
    <s v="Building knowledge for specialized teams.   Reply to requests within the specified SLA time frame.   Looking into things more deeply; the efficiency of the teams."/>
  </r>
  <r>
    <n v="885"/>
    <s v="No, respondent does not consent"/>
    <s v="IB"/>
    <s v="Senior Admin"/>
    <s v="IB East"/>
    <s v="East"/>
    <s v="Han Tran"/>
    <s v="Han Tran"/>
    <x v="1"/>
    <s v="English"/>
    <s v="7"/>
    <m/>
    <m/>
    <s v="6"/>
    <s v="Some of one like Compass; I'd give a higher number. But others like Net Rep are a little bit behind."/>
    <m/>
    <m/>
    <s v="7"/>
    <m/>
    <m/>
    <m/>
    <s v="7"/>
    <m/>
    <s v="5"/>
    <s v="The My Portfolio Plus system as well as online system to set up is definitly not user friendly"/>
    <x v="4"/>
    <s v="There is definely areas for improvement but when I consider other back office options they definely stand above."/>
    <s v="The Risk Team; they have good experience and knowledge on that side of the business."/>
    <s v="Employee retention. You connect with someone and they move on to another role."/>
  </r>
  <r>
    <n v="1032"/>
    <s v="No, respondent does not consent"/>
    <s v="PM"/>
    <s v="Senior Admin"/>
    <s v="PM Pacific"/>
    <s v="Pacific"/>
    <s v="Han Tran"/>
    <s v="Han Tran"/>
    <x v="0"/>
    <s v="English"/>
    <s v="8"/>
    <s v="10 - Extremely satisfied"/>
    <m/>
    <s v="8"/>
    <m/>
    <m/>
    <m/>
    <m/>
    <m/>
    <s v="8"/>
    <m/>
    <s v="8"/>
    <m/>
    <s v="10 - Extremely satisfied"/>
    <m/>
    <x v="0"/>
    <s v="We've been working with NBIN since 2014. We feel like they provide great value for the cost, and we will definitely continue working with them."/>
    <s v="Investment in technology.   Great client service.   Great brokerage services."/>
    <s v="Simplify how to contact the client services team.   Better training for the specialist teams."/>
  </r>
  <r>
    <n v="1033"/>
    <s v="Yes, respondent consents"/>
    <s v="PM"/>
    <s v="Principal/Executive"/>
    <s v="PM West"/>
    <s v="West"/>
    <s v="Michele Hansson"/>
    <s v="Michele Hansson"/>
    <x v="0"/>
    <s v="English"/>
    <s v="1 - Extremely dissatisfied"/>
    <m/>
    <m/>
    <m/>
    <m/>
    <m/>
    <m/>
    <m/>
    <m/>
    <m/>
    <m/>
    <m/>
    <m/>
    <s v="5"/>
    <s v="They are nothing special but adequate. Often times, getting clients set up with online access is difficult for the clients and inconvenient for us."/>
    <x v="8"/>
    <s v="Bad service, bad responsiveness and lots of errors."/>
    <m/>
    <s v="Better responsiveness   Better knowledge on the part of frontline people   Lower error rates"/>
  </r>
  <r>
    <n v="1036"/>
    <s v="Yes, respondent consents"/>
    <s v="PM"/>
    <s v="Senior Admin"/>
    <s v="PM West"/>
    <s v="West"/>
    <s v="Michele Hansson"/>
    <s v="Michele Hansson"/>
    <x v="3"/>
    <s v="English"/>
    <s v="5"/>
    <m/>
    <m/>
    <s v="7"/>
    <m/>
    <s v="A better experience with NBIN"/>
    <s v="A lot other custodians utilize email to request transfers and to set up new accounts. NBIN is more self serve."/>
    <s v="7"/>
    <m/>
    <s v="8"/>
    <m/>
    <s v="7"/>
    <m/>
    <s v="9"/>
    <m/>
    <x v="9"/>
    <s v="Lack of communication and lack of urgency. Delays in processing, receiving corespondence and answering questions."/>
    <s v="technology   client reporting   knowledge"/>
    <s v="prompt email responses responses   Limiting delays   Being timely"/>
  </r>
  <r>
    <n v="1037"/>
    <s v="No, respondent does not consent"/>
    <s v="PM"/>
    <s v="Senior Admin"/>
    <s v="PM Ontario"/>
    <s v="Ont"/>
    <s v="Todd Brennand"/>
    <s v="T Brennand"/>
    <x v="3"/>
    <s v="English"/>
    <s v="2"/>
    <s v="7"/>
    <m/>
    <s v="3"/>
    <s v="It seems like poor roll out of multiple systems. I dont know why you need so many systems doing same thing. A lack of accommodation for certain situations"/>
    <s v="A worse experience with NBIN"/>
    <s v="The process flow design with other custodians is much better - an all in one system ID."/>
    <m/>
    <m/>
    <s v="7"/>
    <m/>
    <s v="5"/>
    <s v="They did not exceed my expectations and did not agravate. Five is a good mid way mark"/>
    <s v="8"/>
    <m/>
    <x v="8"/>
    <s v="They like to deny responsibility for making mistakes. The new service is going downhill. There is a lack of accountability."/>
    <s v="Data feed through FSTP.   Ease of use of Netrep"/>
    <s v="service   accountability   system upgrade"/>
  </r>
  <r>
    <n v="1054"/>
    <s v="Yes, respondent consents"/>
    <s v="PM"/>
    <s v="Principal/Executive"/>
    <s v="PM Ontario"/>
    <s v="Ont"/>
    <s v="Paulo Demarco"/>
    <s v="Paulo Demarco"/>
    <x v="0"/>
    <s v="English"/>
    <s v="8"/>
    <s v="10 - Extremely satisfied"/>
    <m/>
    <m/>
    <m/>
    <m/>
    <m/>
    <s v="7"/>
    <m/>
    <m/>
    <m/>
    <s v="8"/>
    <m/>
    <s v="8"/>
    <m/>
    <x v="6"/>
    <s v="Their custodial business works well for us and we would expect it to work well for others. It integrated well with our portfolio management system."/>
    <s v="They are proactive in the business.   They are willing to engage with us as the client   They are knowledgeable and effective in administration and trading"/>
    <s v="keep forging ahead"/>
  </r>
  <r>
    <n v="929"/>
    <s v="No, respondent does not consent"/>
    <s v="PM"/>
    <s v="Senior Admin"/>
    <s v="PM Ontario"/>
    <s v="Ont"/>
    <s v="Todd Brennand"/>
    <s v="T Brennand"/>
    <x v="1"/>
    <s v="English"/>
    <s v="7"/>
    <s v="9"/>
    <m/>
    <s v="7"/>
    <m/>
    <m/>
    <m/>
    <m/>
    <m/>
    <s v="5"/>
    <s v="It was a complicated transfer and didn't advise us of how to proceed. There was constantly wrong guidance and kind of being thrown form this group to that group.  It resulted in it taking a long time in redoing many aspects of it."/>
    <m/>
    <m/>
    <s v="7"/>
    <m/>
    <x v="4"/>
    <s v="I think overall the services are very useful, despite minor annoyances. The different portals and stuff work well."/>
    <s v="I think their Netrep platform works well.   I think ultimately when there's issues, NBIN service team will go the extra mile to help resolve them.   I think the trade desk is very responsive and very helpful."/>
    <s v="I think their bond desk could be improved.  EX: their ability to bid and offer on quote requests.   The new Compass is fairly annoying that you have to log into multiple things, the rollout seems very long and doesn't seem to work that well."/>
  </r>
  <r>
    <n v="1058"/>
    <s v="No, respondent does not consent"/>
    <s v="PM"/>
    <s v="Principal/Executive"/>
    <s v="PM East"/>
    <s v="East"/>
    <s v="Matthew Pollock"/>
    <s v="M Pollock"/>
    <x v="2"/>
    <s v="English"/>
    <s v="7"/>
    <s v="9"/>
    <m/>
    <s v="8"/>
    <m/>
    <s v="It depends"/>
    <s v="Because they have different platforms that satisfy different needs, you cant compare fully. As a custodian they are very similiar in terms of their statements and electronic access."/>
    <s v="8"/>
    <m/>
    <s v="7"/>
    <m/>
    <m/>
    <m/>
    <s v="8"/>
    <m/>
    <x v="2"/>
    <s v="As a PM they have extensive background and knowledge base. They know our business. For our kind of business it would be difficult to compete without them."/>
    <s v="They are owned by bank which makes it easier on custodians.   They are proactive in trying to improve service.   They care about their clients"/>
    <s v="Try not to have so much turn over in staff"/>
  </r>
  <r>
    <n v="935"/>
    <s v="No, respondent does not consent"/>
    <s v="IB"/>
    <s v="Principal/Executive"/>
    <s v="IB Ontario"/>
    <s v="Ont"/>
    <s v="Nick Sarazin"/>
    <s v="Nick Sarazin"/>
    <x v="1"/>
    <s v="English"/>
    <s v="3"/>
    <s v="10 - Extremely satisfied"/>
    <m/>
    <s v="8"/>
    <m/>
    <m/>
    <m/>
    <s v="3"/>
    <s v="The estates that we were trying to settle took an enormous amount of time and at one point we were told the estates department was forty five days behind."/>
    <s v="8"/>
    <m/>
    <s v="7"/>
    <m/>
    <s v="9"/>
    <m/>
    <x v="4"/>
    <s v="There's not allot of choices."/>
    <s v="The name,  their a Canadian Bank. Investors have comfort in that."/>
    <s v="Get people that are  more knowledgeable of what they do.   Have a dedicated person who looks after each individual dealer.   Have better contact, its all email electronic, have better voice contact."/>
  </r>
  <r>
    <n v="937"/>
    <s v="No, respondent does not consent"/>
    <s v="PM"/>
    <s v="Senior Admin"/>
    <s v="PM Ontario"/>
    <s v="Ont"/>
    <s v="Paulo Demarco"/>
    <s v="Paulo Demarco"/>
    <x v="1"/>
    <s v="English"/>
    <s v="6"/>
    <m/>
    <m/>
    <s v="7"/>
    <m/>
    <m/>
    <m/>
    <m/>
    <m/>
    <m/>
    <m/>
    <m/>
    <m/>
    <s v="8"/>
    <m/>
    <x v="4"/>
    <s v="They are a large player in the industry. They are well respected and well connected to other software tools."/>
    <s v="scale   The willingness of the account manager and more senior representatives to assist firms.   Their focus on supporting the independent wealth mangagement space"/>
    <s v="Their new service model is very challenging for clients, it is poor with slow response.   High trading fees   They are slow to improve their technology"/>
  </r>
  <r>
    <n v="947"/>
    <s v="Yes, respondent consents"/>
    <s v="IB"/>
    <s v="Senior Admin"/>
    <s v="IB East"/>
    <s v="East"/>
    <s v="Han Tran"/>
    <s v="Han Tran"/>
    <x v="1"/>
    <s v="English"/>
    <s v="7"/>
    <m/>
    <m/>
    <s v="9"/>
    <m/>
    <s v="A similar experience"/>
    <m/>
    <s v="8"/>
    <m/>
    <s v="5"/>
    <s v="I deal with escalations for transfers and lots of times it takes  an extremely long to get results or we need to send the information more than once. Sometimes transfer follows are  not done on time or escalations are not done properly."/>
    <s v="7"/>
    <m/>
    <s v="10 - Extremely satisfied"/>
    <m/>
    <x v="4"/>
    <s v="There's been some recent changes within their service model and we've been struggling to get proper and timely responses. The knowledge we receive compared to when we were serviced by one individual has shifted drastically"/>
    <s v="They are friendly   Understanding   none"/>
    <s v="Retaining knowledgeable staff   Proper training amongst teams - so they are all on the same page - to avoid discrepancies.   Better response time to enquiries, emails and resolving issues"/>
  </r>
  <r>
    <n v="1016"/>
    <s v="Yes, respondent consents"/>
    <s v="PM"/>
    <s v="Principal/Executive"/>
    <s v="PM Pacific"/>
    <s v="Pacific"/>
    <s v="Han Tran"/>
    <s v="Han Tran"/>
    <x v="1"/>
    <s v="English"/>
    <s v="6"/>
    <s v="7"/>
    <m/>
    <s v="5"/>
    <s v="The research platform awful. It is hard to find something. It is antiquated looks like something from 2015. It is cr**. NetRep is pretty old too. It is not as functional as it could be. There is a  lot of room for improvement in comparisson to other custodial platforms."/>
    <s v="A worse experience with NBIN"/>
    <s v="There is no central blotter. You have to go account by account unless you are uploading trades. You cant buy or sell bonds on the system. These are basic things."/>
    <s v="7"/>
    <m/>
    <s v="9"/>
    <m/>
    <s v="8"/>
    <m/>
    <s v="7"/>
    <m/>
    <x v="4"/>
    <s v="The platform is pretty good, need modernization and to be more secure. Some of the people in back office - it takes while to get an answer. There have been circumstatnces where we were not satisfied with national bank's solutions."/>
    <s v="The self serve platform is handy for cash transfers - really good.   The Effects platform is pretty good   The Bondess plaform service is pretty good."/>
    <s v="Improve the Trading platform   Improve the back office services and timeliness   Improve nuances for non resident accounts"/>
  </r>
  <r>
    <n v="1062"/>
    <s v="No, respondent does not consent"/>
    <s v="PM"/>
    <s v="Senior Admin"/>
    <s v="PM Ontario"/>
    <s v="Ont"/>
    <s v="Todd Brennand"/>
    <s v="T Brennand"/>
    <x v="1"/>
    <s v="English"/>
    <s v="9"/>
    <m/>
    <m/>
    <m/>
    <m/>
    <m/>
    <m/>
    <m/>
    <m/>
    <m/>
    <m/>
    <m/>
    <m/>
    <s v="8"/>
    <m/>
    <x v="4"/>
    <s v="It is a more expensive service than alternatives in the market"/>
    <m/>
    <s v="The technology - it is very outdated and need to do something about it   Technology integration with 3rd party applications."/>
  </r>
  <r>
    <n v="1064"/>
    <s v="No, respondent does not consent"/>
    <s v="PM"/>
    <s v="Senior Admin"/>
    <s v="PM Ontario"/>
    <s v="Ont"/>
    <s v="Todd Brennand"/>
    <s v="T Brennand"/>
    <x v="1"/>
    <s v="English"/>
    <s v="7"/>
    <m/>
    <m/>
    <s v="7"/>
    <m/>
    <m/>
    <m/>
    <s v="7"/>
    <m/>
    <s v="7"/>
    <m/>
    <s v="8"/>
    <m/>
    <s v="8"/>
    <m/>
    <x v="4"/>
    <s v="With the new service model, response times are much longer and there is definetly room for improvement. There is a lot of new staff and it may be training related."/>
    <s v="client focused   They provide alternative solutions - which I like.   Make a sincere effort to improve services and deal promptly with escalations."/>
    <s v="Look at staffing. They always seem to be behind. It may be seasonal but we are noticing it quite a bit at the moment."/>
  </r>
  <r>
    <n v="1067"/>
    <s v="Yes, respondent consents"/>
    <s v="PM"/>
    <s v="Senior Admin"/>
    <s v="PM Ontario"/>
    <s v="Ont"/>
    <s v="Paulo Demarco"/>
    <s v="Paulo Demarco"/>
    <x v="1"/>
    <s v="English"/>
    <s v="5"/>
    <s v="7"/>
    <m/>
    <s v="8"/>
    <m/>
    <m/>
    <m/>
    <s v="6"/>
    <s v="Taking longer to complete things. Before it was 2-3 business days now it is taking weeks."/>
    <s v="8"/>
    <m/>
    <s v="7"/>
    <m/>
    <s v="7"/>
    <m/>
    <x v="4"/>
    <s v="Lately the service has been bad. SLA times have been bad."/>
    <s v="They are accomodating   They do get back to you pretty quickly.   Nice staff"/>
    <s v="Better SLA   Better at listening to our concerns and fixing them.   Cheaper trading pricing."/>
  </r>
  <r>
    <n v="1175"/>
    <s v="Yes, respondent consents"/>
    <s v="PM"/>
    <s v="Senior Admin"/>
    <s v="PM East"/>
    <s v="East"/>
    <s v="Matthew Pollock"/>
    <s v="M Pollock"/>
    <x v="1"/>
    <s v="French"/>
    <s v="4"/>
    <m/>
    <m/>
    <s v="7"/>
    <m/>
    <m/>
    <m/>
    <s v="4"/>
    <s v="Les délais, les temps de traitement et de réponse. La fréquence des réponses aux questions qu'on nous fait qui sont inappropriées dans le dossier précis. Des questions déjà répondues dans le texte précédent ou qui ne concernent pas du tout le dossier précis en question. Le système de communication entre nous et le département, i.e COMPASS, qui nous empêche de communiquer, beaucoup de barrières à la communication. Erreurs multiples dans les feuillets fiscaux."/>
    <s v="4"/>
    <s v="Les délais de suivi entre les départements de transferts des institutions."/>
    <s v="6"/>
    <s v="Les délais de réponse, les questions posées dont la réponse est déjà incluse dans les communications précédentes, la difficulté à faire un suivi sur un dossier qui n'a pas encore été pris en charge(en lien avec le fait que notre suivi se retrouve encore en fin de ligne). L'absence de prise en charge d'un dossier déjà en cours lorsque la personne est absente."/>
    <s v="7"/>
    <m/>
    <x v="4"/>
    <s v="J'apprécie le désir de BNRI de fournir les outils nécessaires pour nous aider dans nos tâches quotidiennes, et à évoluer. Le manque constant de personnel rend notre quotidien et notre engagement envers nos clients un défi constant."/>
    <s v="Le désir de nous accompagner.   Mise en place de plateformes pour nous assister.   Certaines personnes sont prêtes à nous assister en cas de besoin."/>
    <s v="Avoir du personnel suffisant et qualifié.   Le système de gestion des comptes enregistrés (paiements)."/>
  </r>
  <r>
    <n v="1080"/>
    <s v="No, respondent does not consent"/>
    <s v="IB"/>
    <s v="Senior Admin"/>
    <s v="IB Ontario"/>
    <s v="Ont"/>
    <s v="Nick Sarazin"/>
    <s v="Nick Sarazin"/>
    <x v="0"/>
    <s v="English"/>
    <s v="3"/>
    <m/>
    <m/>
    <s v="5"/>
    <s v="There have been a lot of issues lately. Which when the system is down it is usually after some type of update.  Usually we inform NBIN before they send something out."/>
    <m/>
    <m/>
    <s v="6"/>
    <s v="Although estates has improved there is still work that needs to get done. It is taking longer and longer to issue tax slips for estates and not having the appropriate notes."/>
    <s v="4"/>
    <s v="Although we input our own transfers, when there is an issue it is taking longer and longer. It can go on for a couple of weeks to a month. We had a client where it took 3 months to get a transfer done. We had to get the tansfer faxed and it was done on legal size paper instead of letter size."/>
    <s v="5"/>
    <s v="We use onboarding to onboard administration. When NBIN makes errors it takes a while to get fixed and updated appropriately."/>
    <s v="6"/>
    <s v="There have been a lot of technical issues lately, which sometimes causes reports to be delayed or not totally accurate which then causes issues in our business."/>
    <x v="4"/>
    <s v="I'm not sure what other brokers there are out there. But  due to some issues we have experience lately it was more of a 7."/>
    <s v="The ability to view our clients online.   The Accounting department   The ability for us to upload management fees"/>
    <s v="Their new email system   Their response time in getting back to us   Their technology"/>
  </r>
  <r>
    <n v="1081"/>
    <s v="Yes, respondent consents"/>
    <s v="PM"/>
    <s v="Senior Admin"/>
    <s v="PM Pacific"/>
    <s v="Pacific"/>
    <s v="Han Tran"/>
    <s v="Han Tran"/>
    <x v="2"/>
    <s v="English"/>
    <s v="8"/>
    <s v="10 - Extremely satisfied"/>
    <m/>
    <m/>
    <m/>
    <m/>
    <m/>
    <s v="9"/>
    <m/>
    <s v="10 - Extremely satisfied"/>
    <m/>
    <s v="6"/>
    <s v="The extreme variability of the service. If the request is received in one persons inbox the service is great but another person might be significantly worse."/>
    <s v="10 - Extremely satisfied"/>
    <m/>
    <x v="2"/>
    <s v="The service is very well tailored to the  needs of independent investment council."/>
    <s v="Procedures.   Trading."/>
    <s v="Better communication on service team reorganizations.   More uniform service delivery levels."/>
  </r>
  <r>
    <n v="1179"/>
    <s v="Yes, respondent consents"/>
    <s v="PM"/>
    <s v="Senior Admin"/>
    <s v="PM Ontario"/>
    <s v="Ont"/>
    <s v="Paulo Demarco"/>
    <s v="Paulo Demarco"/>
    <x v="1"/>
    <s v="English"/>
    <s v="3"/>
    <s v="9"/>
    <m/>
    <m/>
    <m/>
    <m/>
    <m/>
    <s v="7"/>
    <m/>
    <s v="7"/>
    <m/>
    <s v="7"/>
    <m/>
    <s v="9"/>
    <m/>
    <x v="4"/>
    <s v="I guess its just the overall experience. It could be better, but thank god its not worse."/>
    <s v="The account managers.Having a relationship with account managers."/>
    <s v="I would love to see a more immediate response, Ex: not like in an hour, like twenty four hours from emails, I am not getting."/>
  </r>
  <r>
    <n v="1220"/>
    <s v="No, respondent does not consent"/>
    <s v="PM"/>
    <s v="Principal/Executive"/>
    <s v="PM East"/>
    <s v="East"/>
    <s v="Matthew Pollock"/>
    <s v="M Pollock"/>
    <x v="1"/>
    <s v="French"/>
    <s v="7"/>
    <m/>
    <m/>
    <m/>
    <m/>
    <m/>
    <m/>
    <m/>
    <m/>
    <m/>
    <m/>
    <s v="6"/>
    <s v="Les délais sont long(ex: 3 heures) pour répondre à nos questions, et il y souvent des problèmes à parler a la bonne personne afin de régler les problèmes, ou changer un mot de passe."/>
    <s v="7"/>
    <m/>
    <x v="4"/>
    <s v="Car il y a d'autres alternatives sur le marché, et quand on recommande quelque chose, on veut avoir plusieurs options, mais on mettrait quand même BNRI."/>
    <s v="La réputation de Banque Nationale.   La taille de cette entreprise, i.e. BNRI.   Banque Québecoise."/>
    <s v="Avoir une application pour que les clients puissent se connecter, et pas seulement un site web.   Améliorer les délais d'attentes pour tout ce qui est administration, i.e. les transferts, etc."/>
  </r>
  <r>
    <n v="1090"/>
    <s v="Yes, respondent consents"/>
    <s v="PM"/>
    <s v="Principal/Executive"/>
    <s v="PM West"/>
    <s v="West"/>
    <s v="Michele Hansson"/>
    <s v="Michele Hansson"/>
    <x v="0"/>
    <s v="English"/>
    <s v="6"/>
    <s v="9"/>
    <m/>
    <s v="7"/>
    <m/>
    <m/>
    <m/>
    <m/>
    <m/>
    <m/>
    <m/>
    <s v="6"/>
    <s v="Inaccuracy of advice."/>
    <s v="9"/>
    <m/>
    <x v="4"/>
    <s v="Our overall experience with NBIN."/>
    <s v="Trading.   Senior Management response.   Industry expertise."/>
    <s v="Response times."/>
  </r>
  <r>
    <n v="1236"/>
    <s v="No, respondent does not consent"/>
    <s v="PM"/>
    <s v="Senior Admin"/>
    <s v="PM Pacific"/>
    <s v="Pacific"/>
    <s v="Han Tran"/>
    <s v="Han Tran"/>
    <x v="1"/>
    <s v="English"/>
    <s v="7"/>
    <m/>
    <m/>
    <s v="8"/>
    <m/>
    <m/>
    <m/>
    <m/>
    <m/>
    <s v="7"/>
    <m/>
    <s v="7"/>
    <m/>
    <s v="DNK/NOT APPLICABLE"/>
    <m/>
    <x v="4"/>
    <s v="The quality of responses and timeliness of them.Recent  changes to their service model means the SLA is  much slower than previously. It sounds like there are alot of new team members and they struggle with understanding our line of business."/>
    <s v="Very personable and easy to talk to.   Specific individuals are easy to contact to ask questions and are  quite knowledgeable.   Senior people I deal with always try their best and try to solve any  issue we have."/>
    <s v="Improve turn around time.   Improve transfer platforms.   Improve SLA and turn around times for openings."/>
  </r>
  <r>
    <n v="1251"/>
    <s v="No, respondent does not consent"/>
    <s v="IB"/>
    <s v="Principal/Executive"/>
    <s v="IB Ontario"/>
    <s v="Ont"/>
    <s v="Michele Hansson"/>
    <s v="Michele Hansson"/>
    <x v="1"/>
    <s v="English"/>
    <s v="7"/>
    <m/>
    <m/>
    <m/>
    <m/>
    <m/>
    <m/>
    <m/>
    <m/>
    <m/>
    <m/>
    <m/>
    <m/>
    <s v="6"/>
    <s v="Outdated look and feel."/>
    <x v="4"/>
    <s v="There's very little competition in Canada, and that reflects in the service we get."/>
    <s v="They are opened to creative ideas.   They can be flexible in their approach.   Although they are a bank, they are stil entrepreneurial."/>
    <s v="A modernized offering.   More urgency to solve problems.   Being more mindful of communicating changes to their clients."/>
  </r>
  <r>
    <n v="1098"/>
    <s v="Yes, respondent consents"/>
    <s v="PM"/>
    <s v="Principal/Executive"/>
    <s v="PM East"/>
    <s v="East"/>
    <s v="Matthew Pollock"/>
    <s v="M Pollock"/>
    <x v="2"/>
    <s v="French"/>
    <s v="8"/>
    <s v="8"/>
    <m/>
    <s v="7"/>
    <m/>
    <s v="A better experience with NBIN"/>
    <s v="L'interface pour naviguer est plus facile."/>
    <m/>
    <m/>
    <m/>
    <m/>
    <s v="7"/>
    <m/>
    <s v="8"/>
    <m/>
    <x v="2"/>
    <s v="La capacité d'offrir le service de garde, ou de fiduciaire, avec le service transactionnel."/>
    <s v="Plateforme intégrée.   Proximité."/>
    <s v="L'intégration de leurs systèmes."/>
  </r>
  <r>
    <n v="1259"/>
    <s v="No, respondent does not consent"/>
    <s v="PM"/>
    <s v="Principal/Executive"/>
    <s v="PM Ontario"/>
    <s v="Ont"/>
    <s v="Todd Brennand"/>
    <s v="T Brennand"/>
    <x v="1"/>
    <s v="English"/>
    <s v="7"/>
    <m/>
    <m/>
    <s v="4"/>
    <s v="I would say trading platform is antiquated."/>
    <m/>
    <m/>
    <m/>
    <m/>
    <m/>
    <m/>
    <m/>
    <m/>
    <s v="5"/>
    <s v="I'd say statements are confusing for clients."/>
    <x v="4"/>
    <s v="Scale of platform and market share."/>
    <s v="Scale of operations.   Permanency of operations.   Brand name."/>
    <s v="Improve technology.   Improve customer orientation.   Improve timeliness of responses."/>
  </r>
  <r>
    <n v="1100"/>
    <s v="Yes, respondent consents"/>
    <s v="IB"/>
    <s v="Principal/Executive"/>
    <s v="IB East"/>
    <s v="East"/>
    <s v="Han Tran"/>
    <s v="Han Tran"/>
    <x v="3"/>
    <s v="English"/>
    <s v="4"/>
    <s v="8"/>
    <m/>
    <s v="6"/>
    <s v="there 2 systems we have to navigate - old compass and new compass - and the systems are too rigid"/>
    <m/>
    <m/>
    <s v="6"/>
    <s v="It takes a long time for the Estate department to process  settlements and required documents not clearly stated before - which requires us to go to the clients several times"/>
    <s v="7"/>
    <m/>
    <s v="3"/>
    <s v="its difficult to get in contact with anybody and reply times are too long"/>
    <s v="7"/>
    <m/>
    <x v="3"/>
    <s v="nbin has changed their service platform and it has made it more difficult to interact with them"/>
    <s v="they have a good trading desk   helpfull in complaince matters   proactive in the crs fatca requierements"/>
    <s v="the client service - new system is difficult to work with and lead times has doubled or tripled it doesnt feel like there anybody supporting us   The communication between the approval department  and our firm when Imost requests are rejected - we dont receive  timely notification   none"/>
  </r>
  <r>
    <n v="1106"/>
    <s v="No, respondent does not consent"/>
    <s v="PM"/>
    <s v="Senior Admin"/>
    <s v="PM West"/>
    <s v="West"/>
    <s v="Paulo Demarco"/>
    <s v="Paulo Demarco"/>
    <x v="2"/>
    <s v="English"/>
    <s v="5"/>
    <s v="9"/>
    <m/>
    <s v="4"/>
    <s v="The new Compass is a nightmare to get back on forth and navigate. Their systems are archaic."/>
    <m/>
    <m/>
    <s v="2"/>
    <s v="They don't let you talk directly to the estate team. You dont know what is going on and have to go through a middle man."/>
    <s v="2"/>
    <s v="You dont know to talk to. There is not a lot of clarity. Cant monitor the transfer and there is not a lot of information."/>
    <s v="6"/>
    <s v="The flow of  feedback. You dont get an email back and it is hard to talk to right person."/>
    <s v="5"/>
    <s v="We don't really use it"/>
    <x v="8"/>
    <s v="I am familiar with other custodians and they are a lot better."/>
    <s v="The fixed income team   trading"/>
    <s v="Better assistance for portfolio managers   Better transfer process that is quicker.   Turn around"/>
  </r>
  <r>
    <n v="1109"/>
    <s v="Yes, respondent consents"/>
    <s v="PM"/>
    <s v="Principal/Executive"/>
    <s v="PM Ontario"/>
    <s v="Ont"/>
    <s v="Todd Brennand"/>
    <s v="T Brennand"/>
    <x v="0"/>
    <s v="English"/>
    <s v="10 - Extremely satisfied"/>
    <s v="10 - Extremely satisfied"/>
    <m/>
    <s v="10 - Extremely satisfied"/>
    <m/>
    <s v="A better experience with NBIN"/>
    <s v="I find they have more wider services available and the services that they do offer, they tend to go deeper with. One of the biggest thing is we have a very good relationship manager Todd Brennand."/>
    <m/>
    <m/>
    <m/>
    <m/>
    <s v="10 - Extremely satisfied"/>
    <m/>
    <s v="10 - Extremely satisfied"/>
    <m/>
    <x v="0"/>
    <s v="Just been a good experience."/>
    <s v="I'd say strength of the team.   Strength of technology.   Strength of platform."/>
    <s v="Lower commission rates."/>
  </r>
  <r>
    <n v="1272"/>
    <s v="No, respondent does not consent"/>
    <s v="PM"/>
    <s v="Senior Admin"/>
    <s v="PM Ontario"/>
    <s v="Ont"/>
    <s v="Paulo Demarco"/>
    <s v="Paulo Demarco"/>
    <x v="1"/>
    <s v="English"/>
    <s v="6"/>
    <s v="7"/>
    <m/>
    <s v="7"/>
    <m/>
    <s v="A similar experience"/>
    <m/>
    <s v="7"/>
    <m/>
    <s v="8"/>
    <m/>
    <s v="7"/>
    <m/>
    <s v="7"/>
    <m/>
    <x v="4"/>
    <s v="Its hard to say NBIN does exactly what we need it to do, however there are some services that could be a little higher professional. In just day to day service between our team and getting in contact with NBIN its not easy. As a whole, we are satisfied, there is no major issues to flag."/>
    <s v="I do think your transfers department is pretty good.   Dealing with FX team.   I think the Compass transition once in full effect its already been allot better."/>
    <s v="I think the new service model can use improvement.   Onboarding- the process, the documentation has not really changed and the technology around it has not been improved in quite some time, we would like to see bigger technology presence with the Onboarding.   Probably  - ex: we did deal with an estate settlement and it was my first experience with it and it was good but not great."/>
  </r>
  <r>
    <n v="1312"/>
    <s v="No, respondent does not consent"/>
    <s v="PM"/>
    <s v="Principal/Executive"/>
    <s v="PM Ontario"/>
    <s v="Ont"/>
    <s v="Todd Brennand"/>
    <s v="T Brennand"/>
    <x v="1"/>
    <s v="English"/>
    <s v="7"/>
    <m/>
    <m/>
    <s v="6"/>
    <s v="The technology is functional but it is old and in need of updating"/>
    <s v="It depends"/>
    <s v="Other custodian is more rigid in their  application of rules but their technology is more sofisticated . NBIN is more flexible in  attempting to achieve the desired outcome but they are sometimes compremised by their outdated technology"/>
    <m/>
    <m/>
    <s v="3"/>
    <s v="The tranfers department experiences frequent human error"/>
    <m/>
    <m/>
    <s v="5"/>
    <s v="There is nothing exceptional about the service"/>
    <x v="4"/>
    <s v="While there are pain points NBIN tries hard to get the job done"/>
    <s v="reasonable flexibility   commitment to attempting to solve problems   addaquate funtionality"/>
    <s v="technology stack   communication takes time and is rushed and not clear   fewer uncessary fees"/>
  </r>
  <r>
    <n v="1324"/>
    <s v="Yes, respondent consents"/>
    <s v="PM"/>
    <s v="Principal/Executive"/>
    <s v="PM Ontario"/>
    <s v="Ont"/>
    <s v="Todd Brennand"/>
    <s v="T Brennand"/>
    <x v="1"/>
    <s v="English"/>
    <s v="4"/>
    <s v="10 - Extremely satisfied"/>
    <m/>
    <m/>
    <m/>
    <m/>
    <m/>
    <s v="7"/>
    <m/>
    <s v="7"/>
    <m/>
    <s v="7"/>
    <m/>
    <s v="10 - Extremely satisfied"/>
    <m/>
    <x v="4"/>
    <s v="NBIN used to deliver top notch service across all departments. That is no longer the case. There are still a number of individuals that provide excellent service."/>
    <m/>
    <s v="A faster turn around and response times. Typically it can take them 4 days to receive a  response to an inquiry.   A greater focus on relationship building.   Enhanced training for some staff"/>
  </r>
  <r>
    <n v="1337"/>
    <s v="Yes, respondent consents"/>
    <s v="PM"/>
    <s v="Senior Admin"/>
    <s v="PM East"/>
    <s v="East"/>
    <s v="Matthew Pollock"/>
    <s v="M Pollock"/>
    <x v="1"/>
    <s v="English"/>
    <s v="6"/>
    <m/>
    <m/>
    <s v="8"/>
    <m/>
    <s v="A better experience with NBIN"/>
    <s v="The platform is easy to use. There have been very little issues. The onboarding has gotten easier. I hear good things from clients. clients have also mentioned that a phone app would be good."/>
    <s v="7"/>
    <m/>
    <s v="6"/>
    <s v="All custodians are antiquated. There are communication issues, delays. There have been difficulties with NBIN; transfers in and out have been chaoitic."/>
    <s v="7"/>
    <m/>
    <s v="7"/>
    <m/>
    <x v="4"/>
    <s v="Communication has deteriorated greatly. We used to have daily contact and a rep who could escalate things if needed. The personal touch has been lost. Responses from the teams have been robotic. With opening new accounts and processing money there have been more mistake and less person contact."/>
    <s v="They have invested in new technology.   I know they are looking at and are interested in improving and technology.   We are not really that satisfied so it is hard to tell."/>
    <s v="Communication   Training of staff   Transfers"/>
  </r>
  <r>
    <n v="1123"/>
    <s v="Yes, respondent consents"/>
    <s v="PM"/>
    <s v="Principal/Executive"/>
    <s v="PM Ontario"/>
    <s v="Ont"/>
    <s v="Paulo Demarco"/>
    <s v="Paulo Demarco"/>
    <x v="3"/>
    <s v="English"/>
    <s v="8"/>
    <s v="7"/>
    <m/>
    <s v="7"/>
    <m/>
    <s v="A better experience with NBIN"/>
    <s v="I'm gonna say response faster and willing to go the extra mile."/>
    <s v="6"/>
    <s v="The estate department needs help, response time is slow and working with them is difficult."/>
    <m/>
    <m/>
    <s v="8"/>
    <m/>
    <s v="9"/>
    <m/>
    <x v="6"/>
    <s v="Generally happy with the services that we get from NBIN."/>
    <s v="Response time.   Willingness to be flexible.   Thinking outside of the box."/>
    <s v="I know we've had some problems with the estate department."/>
  </r>
  <r>
    <n v="1129"/>
    <s v="Yes, respondent consents"/>
    <s v="PM"/>
    <s v="Senior Admin"/>
    <s v="PM Ontario"/>
    <s v="Ont"/>
    <s v="Todd Brennand"/>
    <s v="T Brennand"/>
    <x v="2"/>
    <s v="English"/>
    <s v="7"/>
    <m/>
    <m/>
    <s v="9"/>
    <m/>
    <s v="A similar experience"/>
    <m/>
    <s v="5"/>
    <s v="I think it was just the amount of time it took them to get back to me on situational complexity of the case."/>
    <s v="7"/>
    <m/>
    <s v="9"/>
    <m/>
    <s v="8"/>
    <m/>
    <x v="6"/>
    <s v="I think overall NBIN is efficient with their services, overall they are responsive and i feel like their assistance in technical services that they provide are pretty good and are a good competition out there. I would say they're on par with other industry custodians"/>
    <s v="I think their technology. Types of service platforms   Their client service model.   Their expertise in the registered accounts."/>
    <s v="I think just their delivery of response time.   Just perhaps being more active over the phone as oppose to email.   Just easily being able to deal with the specialized department, ex the transfer department i could get a direct number to contact and speak to a specialist directly, which will enhance and improve timeline for delivery and responses and the estate department as an example to."/>
  </r>
  <r>
    <n v="1340"/>
    <s v="Yes, respondent consents"/>
    <s v="PM"/>
    <s v="Senior Admin"/>
    <s v="PM Ontario"/>
    <s v="Ont"/>
    <s v="Paulo Demarco"/>
    <s v="Paulo Demarco"/>
    <x v="1"/>
    <s v="English"/>
    <s v="5"/>
    <m/>
    <m/>
    <s v="7"/>
    <m/>
    <m/>
    <m/>
    <s v="7"/>
    <m/>
    <s v="4"/>
    <s v="Very bad responsiveness. I has never been great but in the last few months it has become progressively worse. The rejection emails are not coming through and we have to chase them down. By time they respond things may have resolved themselves via other means."/>
    <s v="7"/>
    <m/>
    <s v="9"/>
    <m/>
    <x v="4"/>
    <s v="In the last 4 months, the service level dropped off drastically. Since they made recent changes there is  still an issue with consistency with all staff regarding proceedures."/>
    <s v="history   knowledge   A good foundational base of technology"/>
    <s v="The service levels. They did not adequately cross train all staff before they mad their changes. We get different answers from different staff."/>
  </r>
  <r>
    <n v="1133"/>
    <s v="No, respondent does not consent"/>
    <s v="PM"/>
    <s v="Principal/Executive"/>
    <s v="PM Ontario"/>
    <s v="Ont"/>
    <s v="Todd Brennand"/>
    <s v="T Brennand"/>
    <x v="2"/>
    <s v="English"/>
    <s v="8"/>
    <s v="10 - Extremely satisfied"/>
    <m/>
    <s v="6"/>
    <s v="The interface is rather old. It does not compare to other technologies in place. Error checking and the screen fonts are difficult to read. The interfaces could us improved. The redevelopment of Compass is very, very slow for the improvements they are putting in place. It is more difficult to control access to certain employees for compliance related. They have been dis-improvements from compliance functionality point of view."/>
    <s v="It depends"/>
    <s v="One of the custodians technical in6terface, it is a total package solution, is easily integrated and fast. The other custodians technology is older and clunky."/>
    <s v="6"/>
    <s v="It is slow and tedious."/>
    <s v="6"/>
    <s v="Transfers on average get rejected for various reasons despite our best attempt to do everything properly. They are slow to get back to us. By the time they do there are errors again and it is very frustrating. There is no problem getting transfers out but we have to make 2 or 3 attempts to get transfers in."/>
    <s v="8"/>
    <m/>
    <s v="DNK/NOT APPLICABLE"/>
    <m/>
    <x v="3"/>
    <s v="NBIN charges a premium price but we are not getting premium value. Other custodians are less costly and provide better or equivilant service."/>
    <m/>
    <s v="Getting their technology platform significantly improved.   Faster turn around times for for service requests.   Better client interfacing."/>
  </r>
  <r>
    <n v="1134"/>
    <s v="Yes, respondent consents"/>
    <s v="PM"/>
    <s v="Senior Admin"/>
    <s v="PM East"/>
    <s v="East"/>
    <s v="Matthew Pollock"/>
    <s v="M Pollock"/>
    <x v="0"/>
    <s v="English"/>
    <s v="7"/>
    <m/>
    <m/>
    <s v="8"/>
    <m/>
    <m/>
    <m/>
    <s v="7"/>
    <m/>
    <s v="9"/>
    <m/>
    <s v="7"/>
    <m/>
    <s v="9"/>
    <m/>
    <x v="6"/>
    <s v="I feel that the back office staff could use some improvement with the  speed of their communications. I do feel that any time I escalate an issue- its been dealt with promptly."/>
    <s v="Their private placements departments are the best - they do a good job dealing with us and  they guide us through the process.   The account transfer department-they deal with transfers on a very good basis - very quickly   I really appreciate our relationship with Matthew Pollock he is a pleasure to work with and he deals with issues immediately"/>
    <s v="The NBIN general box - it takes a long time to get a response   I feel like some of their systems like account openings could be easier   none"/>
  </r>
  <r>
    <n v="1006"/>
    <s v="Yes, respondent consents"/>
    <s v="IB"/>
    <s v="Senior Admin"/>
    <s v="IB Ontario"/>
    <s v="Ont"/>
    <s v="Michele Hansson"/>
    <s v="Michele Hansson"/>
    <x v="1"/>
    <s v="English"/>
    <s v="8"/>
    <s v="10 - Extremely satisfied"/>
    <m/>
    <s v="6"/>
    <s v="Some of the programs does not accept e-sign documents. We have to spend a lot time converting and it is frustrating. The transfers department is a wreck"/>
    <m/>
    <m/>
    <s v="10 - Extremely satisfied"/>
    <m/>
    <s v="1 - Extremely dissatisfied"/>
    <s v="It has just been really bad. It has taken way longer. In one instance it took weeks to correct and when corrected was wrong. There is no accountabilit."/>
    <s v="3"/>
    <s v="The encompssing process - they need to find a way to make less cumbersome"/>
    <s v="3"/>
    <s v="Things like altcash - we cant get it in bulk and this makes it hard to provide to clients"/>
    <x v="3"/>
    <s v="I dont know the other competition so cant make comparrison"/>
    <s v="Taking care of money   trading   registered account mangement"/>
    <s v="transfers   estates   onboarding"/>
  </r>
  <r>
    <n v="1091"/>
    <s v="Yes, respondent consents"/>
    <s v="PM"/>
    <s v="Senior Admin"/>
    <s v="PM Ontario"/>
    <s v="Ont"/>
    <s v="Todd Brennand"/>
    <s v="T Brennand"/>
    <x v="1"/>
    <s v="English"/>
    <s v="6"/>
    <s v="7"/>
    <m/>
    <s v="8"/>
    <m/>
    <m/>
    <m/>
    <s v="8"/>
    <m/>
    <s v="7"/>
    <m/>
    <s v="5"/>
    <s v="Lack of consistency. Staff turn over. Failure to get back in a timely manner. Elevating issues doesnt seem to help."/>
    <s v="7"/>
    <m/>
    <x v="3"/>
    <m/>
    <s v="Breath of coverage of products.   Senior client service provider is great.   Partnership"/>
    <s v="Consistency of administrative function   Having more interaction with staff.   The technology needs to be accelerated"/>
  </r>
  <r>
    <n v="1325"/>
    <s v="No, respondent does not consent"/>
    <s v="IB"/>
    <s v="Principal/Executive"/>
    <s v="IB East"/>
    <s v="East"/>
    <s v="Han Tran"/>
    <s v="Han Tran"/>
    <x v="1"/>
    <s v="English"/>
    <s v="6"/>
    <m/>
    <m/>
    <s v="3"/>
    <s v="There's  been a few IT failures. Systems are very outdated."/>
    <m/>
    <m/>
    <m/>
    <m/>
    <m/>
    <m/>
    <m/>
    <m/>
    <s v="5"/>
    <s v="Just very outdated reporting services. Lack of customization."/>
    <x v="3"/>
    <s v="Just some service issues and I think a lack of investment on the technology side."/>
    <s v="Reputable backed by large bank.   Customer service by account managers.   Stable platform."/>
    <s v="More investment in technology.   Better client reporting on service requests."/>
  </r>
  <r>
    <n v="1152"/>
    <s v="No, respondent does not consent"/>
    <s v="PM"/>
    <s v="Principal/Executive"/>
    <s v="PM Pacific"/>
    <s v="Pacific"/>
    <s v="Han Tran"/>
    <s v="Han Tran"/>
    <x v="2"/>
    <s v="English"/>
    <s v="7"/>
    <m/>
    <m/>
    <m/>
    <m/>
    <m/>
    <m/>
    <s v="7"/>
    <m/>
    <s v="8"/>
    <m/>
    <m/>
    <m/>
    <s v="8"/>
    <m/>
    <x v="6"/>
    <s v="We would like the rating to higher because of the  knowledge on estates is not being used for its maximum consent."/>
    <m/>
    <s v="Improvement in estate work   On-time projects"/>
  </r>
  <r>
    <n v="1155"/>
    <s v="Yes, respondent consents"/>
    <s v="PM"/>
    <s v="Principal/Executive"/>
    <s v="PM Pacific"/>
    <s v="Pacific"/>
    <s v="Han Tran"/>
    <s v="Han Tran"/>
    <x v="0"/>
    <s v="English"/>
    <s v="8"/>
    <s v="10 - Extremely satisfied"/>
    <m/>
    <m/>
    <m/>
    <m/>
    <m/>
    <s v="5"/>
    <s v="The length of delays. Unclear instructions. Changing instruct. Difficulties in reaching somebody to get an answer."/>
    <m/>
    <m/>
    <s v="7"/>
    <m/>
    <s v="10 - Extremely satisfied"/>
    <m/>
    <x v="2"/>
    <s v="They are honest. They are striving to do the best they can. They are generally knowledgeable. They provide a range of services that a firm such as ours needs."/>
    <s v="A complete range of services.   Their team is reasonable to deal with.   It may take them a while but they do get the job done."/>
    <s v="The estate department. It is getting better but it is not there yet.   Reduce the fees they charge.   Continue to improve the knowledge of front line personell."/>
  </r>
  <r>
    <n v="1159"/>
    <s v="Yes, respondent consents"/>
    <s v="PM"/>
    <s v="Principal/Executive"/>
    <s v="PM Ontario"/>
    <s v="Ont"/>
    <s v="Paulo Demarco"/>
    <s v="Paulo Demarco"/>
    <x v="0"/>
    <s v="English"/>
    <s v="7"/>
    <s v="7"/>
    <m/>
    <s v="6"/>
    <s v="Its better than it used to be but still not integrated in a way thats very functional for us."/>
    <m/>
    <m/>
    <s v="5"/>
    <s v="Just very slow and its very procedurely not. Not made easy, theres a pushback, its not like their trying to help, its like theyre trying to push back."/>
    <s v="7"/>
    <m/>
    <s v="8"/>
    <m/>
    <s v="6"/>
    <s v="The reporting is  very standard, theres nothing great about it."/>
    <x v="4"/>
    <s v="There aren't a ton of options for independent asset management, for custody services, like NBIN is the only one, recommended by default."/>
    <s v="The size of their organization.   I would hope the scale of the organization.   Technology."/>
    <s v="Integrating technology in a way that is focused on the client being the asset manager not the end client.   Integrating the NBIN organization within the larger banks, as it relates to banks and investment research .   Just better client service, either more people or more effective people so things don't take as long."/>
  </r>
  <r>
    <n v="879"/>
    <s v="No, respondent does not consent"/>
    <s v="IB"/>
    <s v="Principal/Executive"/>
    <s v="IB Ontario"/>
    <s v="Ont"/>
    <s v="Nick Sarazin"/>
    <s v="Nick Sarazin"/>
    <x v="1"/>
    <s v="English"/>
    <s v="6"/>
    <m/>
    <m/>
    <s v="6"/>
    <s v="The technology systems being down. Ease of access."/>
    <m/>
    <m/>
    <s v="3"/>
    <s v="Wait times for processing estates. Wait times for follow ups."/>
    <s v="7"/>
    <m/>
    <s v="7"/>
    <m/>
    <s v="8"/>
    <m/>
    <x v="7"/>
    <s v="Just the overall service we receive from there has declined over the last year. Although they have presented new initiatives such as department dividing. Dividing the departments and access to transfers, estates and account administration, there seems to be a lack of knowledge in those departments."/>
    <s v="Recognition of a bank being behind them.   Reputation.   Their Risk and Regulatory department."/>
    <s v="Knowledgeable trained staff.   Follow up times.   Acknowledgement of our requests in a timely fashion."/>
  </r>
  <r>
    <n v="1165"/>
    <s v="No, respondent does not consent"/>
    <s v="IB"/>
    <s v="Principal/Executive"/>
    <s v="IB East"/>
    <s v="East"/>
    <s v="Han Tran"/>
    <s v="Han Tran"/>
    <x v="2"/>
    <s v="English"/>
    <s v="3"/>
    <m/>
    <m/>
    <m/>
    <m/>
    <m/>
    <m/>
    <m/>
    <m/>
    <m/>
    <m/>
    <s v="5"/>
    <s v="There is not a timeliness of response. The are slow and there is a lack of knowledge."/>
    <s v="5"/>
    <s v="They are adequate but not exceptional."/>
    <x v="10"/>
    <s v="Very little support or interest. We are not a big firm and they are not attentive to our needs."/>
    <s v="magnitude   They are Canadian   Their location"/>
    <s v="customer service   Knowledge. Their asset class knowledge is lacking.   Their technology is not great."/>
  </r>
  <r>
    <n v="1169"/>
    <s v="Yes, respondent consents"/>
    <s v="PM"/>
    <s v="Senior Admin"/>
    <s v="PM West"/>
    <s v="West"/>
    <s v="Paulo Demarco"/>
    <s v="Paulo Demarco"/>
    <x v="3"/>
    <s v="English"/>
    <s v="7"/>
    <s v="8"/>
    <m/>
    <s v="7"/>
    <m/>
    <s v="A better experience with NBIN"/>
    <s v="Their online platform"/>
    <s v="5"/>
    <s v="A recent estate settlement where there were delays and communication was far inbetween."/>
    <s v="8"/>
    <m/>
    <s v="5"/>
    <s v="There have been longer delay in the last 12 months. It is harder to get a hold of the right person"/>
    <s v="6"/>
    <s v="Comparing with other custodians, their statements have work to do to improve the overall look and feel of statement."/>
    <x v="0"/>
    <s v="Upper management has an entreprenerial spirit that manages well with independents like our firm."/>
    <s v="They cater to independent firms like us   A willingness to listen and accomodate   The Transfer department"/>
    <s v="A dedicated point person for our administration team versus various departments.   Improve turn around time on quiries   Statement reporting"/>
  </r>
  <r>
    <n v="1171"/>
    <s v="No, respondent does not consent"/>
    <s v="PM"/>
    <s v="Principal/Executive"/>
    <s v="PM East"/>
    <s v="East"/>
    <s v="Matthew Pollock"/>
    <s v="M Pollock"/>
    <x v="2"/>
    <s v="French"/>
    <s v="7"/>
    <m/>
    <m/>
    <m/>
    <m/>
    <m/>
    <m/>
    <s v="7"/>
    <m/>
    <s v="8"/>
    <m/>
    <s v="8"/>
    <m/>
    <s v="7"/>
    <m/>
    <x v="4"/>
    <s v="Parce que je croix c'est un decison complex. Claire de considerer une decision qui est propre a chacun des fermes, suppose elle meme les questions de tout les companies existe."/>
    <s v="D'avoire comme clientelle principal, les gestionaire independants.   Etre une division de la Banque Nationale de Canada.   D'avoire une presence importante aux Quebec."/>
    <s v="La rapiditer de reponses.   Faciliter a correspondant avec les techniciens ou les gents de NBIN.   Augmenter les niveaux technologique de services."/>
  </r>
  <r>
    <n v="1111"/>
    <s v="Yes, respondent consents"/>
    <s v="PM"/>
    <s v="Senior Admin"/>
    <s v="PM Ontario"/>
    <s v="Ont"/>
    <s v="Paulo Demarco"/>
    <s v="Paulo Demarco"/>
    <x v="1"/>
    <s v="English"/>
    <s v="4"/>
    <m/>
    <m/>
    <m/>
    <m/>
    <m/>
    <m/>
    <s v="5"/>
    <s v="When sending email to the team we had to follow to get answers. We are not getting replies within a 48 hour time frame. My requests and submitting information do not seem to be looked at or addressed with 48 hours."/>
    <s v="3"/>
    <s v="The Transfers department is not following up on submtted transfers or giving reasons for the delay."/>
    <s v="4"/>
    <s v="We are not getting responses within 48 hours and following up constantly. There is not a thorough reading questions and getting answers for part of the question."/>
    <s v="9"/>
    <m/>
    <x v="7"/>
    <s v="Working with client accounts can be frustrating due to long turn around time for responses."/>
    <s v="The responses from managers/team leaders when you escalate.   client staemnt and reporting   General professionalism when speaking with NBIN people."/>
    <s v="response time   attention to detail regarding inquiries sent and urgency"/>
  </r>
  <r>
    <n v="1160"/>
    <s v="Yes, respondent consents"/>
    <s v="IB"/>
    <s v="Principal/Executive"/>
    <s v="IB East"/>
    <s v="East"/>
    <s v="Han Tran"/>
    <s v="Han Tran"/>
    <x v="1"/>
    <s v="English"/>
    <s v="3"/>
    <m/>
    <m/>
    <s v="10 - Extremely satisfied"/>
    <m/>
    <m/>
    <m/>
    <m/>
    <m/>
    <s v="2"/>
    <s v="Lack of action and lack of follow-up. Lack of communication with the advisor team."/>
    <s v="5"/>
    <s v="They've been fairly prompt. Whenever we reach out to fix any issues, they do address them. I feel like they've been doing fairly well with it."/>
    <s v="3"/>
    <s v="Lack of performance data and no multi-factor authentication. These two issues are very commonly experienced for our clients. There's no ability for two-way document sharing, so clients cannot upload documents to the portal for us to see them."/>
    <x v="7"/>
    <s v="Staff I've worked with at NBIN are very knowledgeable and very helpful. There seems to be some departments, such as transfers, that diminish their offering a bit."/>
    <s v="The people that work there. There are good relationships, and they are really helpful.   The tools they're rolling out seem to be really good.   The communication with staff there is really good. Internal feedback from most staff is usually really helpful and good."/>
    <s v="The transfer process of external assets.   The online portal could be modernized."/>
  </r>
  <r>
    <n v="1278"/>
    <s v="Yes, respondent consents"/>
    <s v="PM"/>
    <s v="Senior Admin"/>
    <s v="PM East"/>
    <s v="East"/>
    <s v="Matthew Pollock"/>
    <s v="M Pollock"/>
    <x v="1"/>
    <s v="English"/>
    <s v="7"/>
    <s v="10 - Extremely satisfied"/>
    <m/>
    <s v="8"/>
    <m/>
    <s v="A similar experience"/>
    <m/>
    <m/>
    <m/>
    <m/>
    <m/>
    <s v="2"/>
    <s v="They no longer have a centralized customer service email and you must send it to right group. But there is no way to find out who that is. It can take 4-6 weeks to get something adressed."/>
    <s v="7"/>
    <m/>
    <x v="7"/>
    <s v="Their technology platform is very good, very comprehensive and well thought out. There customer service leaves a lot to be desired."/>
    <s v="Their block trading desk is very good.   Net Rep is good   Their subscription research service is very good."/>
    <s v="Customer services needs a lot of work.   A centalized email box for general inquiries.   They need to be more prompt in email replies. It is not good enough in retail space."/>
  </r>
  <r>
    <n v="1302"/>
    <s v="No, respondent does not consent"/>
    <s v="PM"/>
    <s v="Principal/Executive"/>
    <s v="PM West"/>
    <s v="West"/>
    <s v="Michele Hansson"/>
    <s v="Michele Hansson"/>
    <x v="1"/>
    <s v="English"/>
    <s v="7"/>
    <s v="8"/>
    <m/>
    <s v="4"/>
    <s v="Onboarding in particular- its tedious and it takes too long to get feedback when things have been done incorrectly. new compass tools are untuitive . Pulling information from NetRep is time consuming"/>
    <m/>
    <m/>
    <s v="7"/>
    <m/>
    <s v="7"/>
    <m/>
    <s v="6"/>
    <s v="Similar to what was said in last Question - generally can be inefficient  at times"/>
    <s v="3"/>
    <s v="tax reporting is long the files are diffuclt to acces in bulk stamrnts are inconsistant with what accountants often require and the online portal is difficult to set up and acess for some clients"/>
    <x v="7"/>
    <s v="Not familiar enough with other providers"/>
    <s v="Trading platform is good   support team is responsive   the brand reputation is reliable  - they have a good reputation"/>
    <s v="more streamlined on boarding processes would be good   more intuitive  tools to support portfolio managers   deepening relationships with primary points of contact"/>
  </r>
  <r>
    <n v="1185"/>
    <s v="Yes, respondent consents"/>
    <s v="PM"/>
    <s v="Senior Admin"/>
    <s v="PM Ontario"/>
    <s v="Ont"/>
    <s v="Paulo Demarco"/>
    <s v="Paulo Demarco"/>
    <x v="3"/>
    <s v="English"/>
    <s v="4"/>
    <m/>
    <m/>
    <s v="8"/>
    <m/>
    <m/>
    <m/>
    <s v="9"/>
    <m/>
    <s v="3"/>
    <s v="Acessing the tool and it is easy to use. Sometimes we dont hear back for weeks or month, Sometimes the responses are not helpful."/>
    <s v="5"/>
    <s v="I wish they were a bit more helpful."/>
    <s v="10 - Extremely satisfied"/>
    <m/>
    <x v="6"/>
    <m/>
    <m/>
    <s v="Bring back legacy compass.   Communication on transfers between Transfer Department and us.   Improve the distribution lists"/>
  </r>
  <r>
    <n v="976"/>
    <s v="Yes, respondent consents"/>
    <s v="PM"/>
    <s v="Principal/Executive"/>
    <s v="PM West"/>
    <s v="West"/>
    <s v="Michele Hansson"/>
    <s v="Michele Hansson"/>
    <x v="1"/>
    <s v="English"/>
    <s v="4"/>
    <s v="6"/>
    <s v="The roll out of new compass is completely broken. We are constantly having to toggle with the new system and it is a waste of time. The need a more complete roll out rather then a piecemeal approach."/>
    <m/>
    <m/>
    <m/>
    <m/>
    <s v="8"/>
    <m/>
    <s v="3"/>
    <s v="We measure the amount of rejections we receive. Sometime back we noticed that NB has started rejecting more. It is taking long times to transfer while we are in a period of market volitility. That harms the clients. The rejection reasons are not instructive on how to resolve issues. This results in more back and forth for us to determine the reasons."/>
    <s v="6"/>
    <s v="Timeliness to service is fairly slow. Sometimes they dont look at the full questions. This results in longer back and forth. Sometimes there is no reply and we have to follow up to make sure it has been received or that there is a ticket."/>
    <s v="6"/>
    <s v="We are continually locked out. There are changes in process. It is not intuitive and we direct clients not to use it. There have been changes in email and the contact phone numbers. For our older clients that are not digital natives that is an issue."/>
    <x v="9"/>
    <s v="We are out west and are an afterthought to National Bank. The service I would not recommend."/>
    <s v="More flexibility in how we can trade in the platform and if it was a little more customizable."/>
    <s v="Their bond inventor lacking   Their settlement fees are quite high   The relationship managers have poor communication. The  roll out of changes has been quite painful to go through."/>
  </r>
  <r>
    <n v="1187"/>
    <s v="No, respondent does not consent"/>
    <s v="IB"/>
    <s v="Senior Admin"/>
    <s v="IB Ontario"/>
    <s v="Ont"/>
    <s v="Nick Sarazin"/>
    <s v="Nick Sarazin"/>
    <x v="3"/>
    <s v="English"/>
    <s v="6"/>
    <s v="7"/>
    <m/>
    <s v="7"/>
    <m/>
    <m/>
    <m/>
    <s v="7"/>
    <m/>
    <s v="6"/>
    <s v="Lots of follow ups."/>
    <s v="6"/>
    <s v="Lots of follow up requests."/>
    <s v="6"/>
    <s v="They dont have a lot of the things we look for. This may be due to our hybrid model set up"/>
    <x v="4"/>
    <s v="They are one of the biggest back office solutions. There are not a lot of other options."/>
    <s v="Lots of different people to answer questions   The escalation contacts are good   I find compliance is pretty good"/>
    <s v="Technology   Response times"/>
  </r>
  <r>
    <n v="1191"/>
    <s v="No, respondent does not consent"/>
    <s v="PM"/>
    <s v="Senior Admin"/>
    <s v="PM Ontario"/>
    <s v="Ont"/>
    <s v="Paulo Demarco"/>
    <s v="Paulo Demarco"/>
    <x v="2"/>
    <s v="English"/>
    <s v="4"/>
    <m/>
    <m/>
    <s v="4"/>
    <s v="You need to log into 2 different portals. It is not user friendly. The onboard process is not very good for new accounts."/>
    <s v="A worse experience with NBIN"/>
    <s v="With the other platforms we use, we have an automated reconciliation that feeds into our system. With NBIN. we have to extract and do our own reconciliation process."/>
    <m/>
    <m/>
    <s v="1 - Extremely dissatisfied"/>
    <s v="Today we sent something to NBIN at 12:30 and it has not been acknowledged so far. We have escalated to our own rep within NBIN and he has not heard back to so far. The inner NBIN team has not responded. There is no follow up and no one has responded."/>
    <s v="3"/>
    <s v="We have been trying to update an account and there has been a lot of back and forth. Some information is inaccurate and they keep telling us different information."/>
    <s v="5"/>
    <s v="There was a discrepency on the statement. It has taken a month and has been resolved."/>
    <x v="8"/>
    <s v="The quality of service received is not at par with our own business model."/>
    <s v="The senior management team."/>
    <s v="More training   The turn around times need to be quicker."/>
  </r>
  <r>
    <n v="1195"/>
    <s v="No, respondent does not consent"/>
    <s v="PM"/>
    <s v="Principal/Executive"/>
    <s v="PM Ontario"/>
    <s v="Ont"/>
    <s v="Paulo Demarco"/>
    <s v="Paulo Demarco"/>
    <x v="2"/>
    <s v="English"/>
    <s v="10 - Extremely satisfied"/>
    <s v="10 - Extremely satisfied"/>
    <m/>
    <s v="10 - Extremely satisfied"/>
    <m/>
    <m/>
    <m/>
    <m/>
    <m/>
    <s v="5"/>
    <s v="Very poor communication and follow up. They did not adhere to timelines."/>
    <s v="10 - Extremely satisfied"/>
    <m/>
    <s v="10 - Extremely satisfied"/>
    <m/>
    <x v="0"/>
    <s v="There is only limited choice of custodians available in Canada. NBIN provides better service. There is only a choice between 2 custodians."/>
    <s v="Client focused from customer service perspective.   technology   Compliance and regulatory support."/>
    <s v="Service from the transfers department with respect communication and follow up."/>
  </r>
  <r>
    <n v="1201"/>
    <s v="Yes, respondent consents"/>
    <s v="PM"/>
    <s v="Senior Admin"/>
    <s v="PM Ontario"/>
    <s v="Ont"/>
    <s v="Paulo Demarco"/>
    <s v="Paulo Demarco"/>
    <x v="0"/>
    <s v="English"/>
    <s v="4"/>
    <m/>
    <m/>
    <s v="8"/>
    <m/>
    <s v="A similar experience"/>
    <m/>
    <s v="5"/>
    <s v="response times are too slow"/>
    <s v="2"/>
    <s v="too slow and response times are not good"/>
    <s v="3"/>
    <s v="They are too slow. There are no real humans to talk to when we try to get things done."/>
    <s v="7"/>
    <m/>
    <x v="8"/>
    <s v="They are unresponsive and too slow"/>
    <s v="The web sites"/>
    <s v="transf department   communication   Account opening"/>
  </r>
  <r>
    <n v="1068"/>
    <s v="No, respondent does not consent"/>
    <s v="PM"/>
    <s v="Senior Admin"/>
    <s v="PM West"/>
    <s v="West"/>
    <s v="Michele Hansson"/>
    <s v="Michele Hansson"/>
    <x v="1"/>
    <s v="English"/>
    <s v="5"/>
    <m/>
    <m/>
    <s v="6"/>
    <s v="Theirs been an increase in connectivity errors and not being able to access platforms, especially compass going down."/>
    <m/>
    <m/>
    <s v="7"/>
    <m/>
    <s v="9"/>
    <m/>
    <s v="8"/>
    <m/>
    <s v="6"/>
    <s v="Some of the reports that they provide is on a regular basis are clunky to navigate."/>
    <x v="9"/>
    <s v="Not applicable to the role that I am in."/>
    <s v="The transfer management platform is very easy to navigate."/>
    <s v="Going back to a more service focused model instead of what they've recently navigated towards.   Moving to more secure platforms and taking security more seriously with authentication and updating passwords more regularly.   More prompt solutions and fixes to their digital onboarding platform, there has been pending issues and errors in the documentation since launch."/>
  </r>
  <r>
    <n v="1205"/>
    <s v="No, respondent does not consent"/>
    <s v="PM"/>
    <s v="Principal/Executive"/>
    <s v="PM Ontario"/>
    <s v="Ont"/>
    <s v="Paulo Demarco"/>
    <s v="Paulo Demarco"/>
    <x v="2"/>
    <s v="English"/>
    <s v="7"/>
    <m/>
    <m/>
    <s v="4"/>
    <s v="The systems are very disjointed. Access management is horrible. Users get access to function they should not. We dont get a clear reporting on who can access and do what. We have spent weeks trying to figure out and it is still unresolved."/>
    <s v="A worse experience with NBIN"/>
    <s v="With other custodians, access is granted function by function. I can go in and see who has access. This is ganular level.  Other custodians provide for multi user functions in that there are two individuals; one who transacts and another that has oversight and provides approval. NBIN has none of that. This is the functioning of the system."/>
    <m/>
    <m/>
    <m/>
    <m/>
    <m/>
    <m/>
    <s v="6"/>
    <s v="The portal and statements are not client centric."/>
    <x v="7"/>
    <s v="Technology. There is better out there particularly with respect to security. The other reason is that it would depend on their needs."/>
    <s v="our relationship manager   their scale   Their people, the general team."/>
    <s v="technology   Easier communication or contact methods."/>
  </r>
  <r>
    <n v="1116"/>
    <s v="No, respondent does not consent"/>
    <s v="IB"/>
    <s v="Principal/Executive"/>
    <s v="IB Ontario"/>
    <s v="Ont"/>
    <s v="Michele Hansson"/>
    <s v="Michele Hansson"/>
    <x v="1"/>
    <s v="English"/>
    <s v="4"/>
    <m/>
    <m/>
    <s v="4"/>
    <s v="The compass experience looks promissing but the fact that we only have a hand full of optimized requests completed limits the impact. Delays to roll outs to enhanced trading solutions continues to impact the firm. Continue to experience high volumes of system outages."/>
    <m/>
    <m/>
    <m/>
    <m/>
    <m/>
    <m/>
    <m/>
    <m/>
    <s v="3"/>
    <s v="Tax slip production this year was not great-delays to production and delivery of T3's was felt across the firm."/>
    <x v="9"/>
    <s v="Challenges within ,improving processes, getting a hold of the right people at the right time, experienced poor communication and poor follow up and a  lack of responsiveness"/>
    <s v="The road map technology looks promissing   none   none"/>
    <s v="They need to reduce manual processes to insure consistancy   Need to improve tax delivery and service channels related to tax delivery   none"/>
  </r>
  <r>
    <n v="1301"/>
    <s v="Yes, respondent consents"/>
    <s v="PM"/>
    <s v="Senior Admin"/>
    <s v="PM Ontario"/>
    <s v="Ont"/>
    <s v="Todd Brennand"/>
    <s v="T Brennand"/>
    <x v="1"/>
    <s v="English"/>
    <s v="7"/>
    <m/>
    <m/>
    <s v="5"/>
    <s v="I have to go to multiple portals to see what clients own in their portfolios. I have to go to another portal to get documents. If a client needs a password reset I am unable to do it and have to get them to call a 1-800 number. I have no contro9l over this and would prefer to do the password reset myself. cash trans f and tecn -nb promises 3 turn around comp next day"/>
    <s v="A worse experience with NBIN"/>
    <s v="With other custodians I can get everything I need in one portal. I am able to easily help clients with password resets. If I do it first thing in the morning, a cash transfer to clients sometimes arrives that day."/>
    <s v="8"/>
    <m/>
    <s v="6"/>
    <s v="The process is very manual and  not intuitive from a feedback perspective; meaning if it is rejected with NBIN I may not find out for a week or more."/>
    <m/>
    <m/>
    <s v="8"/>
    <m/>
    <x v="9"/>
    <s v="NBIN does not have the ability or technology backbone to allow my organization to open an account online and set up a transfer through an automated system. My clients expect faster turn around and accurate documentation. With a manual process the odds of mistakes become much higher. Other custodians allow account opening and account servicing. They allow me to deliver a better experience to my clients."/>
    <s v="Legacy; they have lots of clients."/>
    <s v="Invest in technology.   The ability to be flexible with investment firms they work with.   The ability to pay on cash deposits rather than making me invest in a money market fund for free balances."/>
  </r>
  <r>
    <n v="1216"/>
    <s v="No, respondent does not consent"/>
    <s v="IB"/>
    <s v="Principal/Executive"/>
    <s v="IB East"/>
    <s v="East"/>
    <s v="Han Tran"/>
    <s v="Han Tran"/>
    <x v="2"/>
    <s v="French"/>
    <s v="10 - Extremely satisfied"/>
    <m/>
    <m/>
    <s v="10 - Extremely satisfied"/>
    <m/>
    <m/>
    <m/>
    <m/>
    <m/>
    <s v="10 - Extremely satisfied"/>
    <m/>
    <s v="10 - Extremely satisfied"/>
    <m/>
    <s v="10 - Extremely satisfied"/>
    <m/>
    <x v="0"/>
    <s v="Le service impecable."/>
    <s v="Implementation.   Cybersecuriter.   Service a la clientelle."/>
    <s v="Ca serait rapiditer de reglement de transaction.   EX : difficulter a rejoindre l'equipe de reglement.   Je dirai system de suivi de ticket."/>
  </r>
  <r>
    <n v="1217"/>
    <s v="Yes, respondent consents"/>
    <s v="PM"/>
    <s v="Senior Admin"/>
    <s v="PM East"/>
    <s v="East"/>
    <s v="Matthew Pollock"/>
    <s v="M Pollock"/>
    <x v="2"/>
    <s v="French"/>
    <s v="8"/>
    <s v="10 - Extremely satisfied"/>
    <m/>
    <s v="8"/>
    <m/>
    <m/>
    <m/>
    <m/>
    <m/>
    <m/>
    <m/>
    <m/>
    <m/>
    <s v="10 - Extremely satisfied"/>
    <m/>
    <x v="4"/>
    <s v="Car on devient vite indépendant dans les processus, mais une fois qu'on sait comment tout fonctionne, et qu'on a un problème, c'est difficile de rejoindre BNRI."/>
    <s v="La plateforme technologique de BNRI.   La flexibilité de BNRI, évolution des services et systèmes.   L'équipe de négociation est très solide."/>
    <s v="Améliorer le service client; les délais de réponse et la qualité des réponses."/>
  </r>
  <r>
    <n v="1056"/>
    <s v="Yes, respondent consents"/>
    <s v="IB"/>
    <s v="Senior Admin"/>
    <s v="IB East"/>
    <s v="East"/>
    <s v="Han Tran"/>
    <s v="Han Tran"/>
    <x v="1"/>
    <s v="English"/>
    <s v="2"/>
    <m/>
    <m/>
    <s v="2"/>
    <s v="allot of their technology solutions dont fit with our accounts, some of the processes on IMOST aren't consistent,"/>
    <m/>
    <m/>
    <m/>
    <m/>
    <s v="4"/>
    <s v="difficult to understand the transfer system and what to choose and there is a delay in response also the number of days suggested for the expected transfer is typically incorrect and doesn't follow protocol."/>
    <s v="8"/>
    <m/>
    <s v="6"/>
    <s v="some reports are not available everyday and allot are delayed"/>
    <x v="5"/>
    <s v="Hard to contact, hard to reach, delay in response, difficult to complete process in appropriate timeline."/>
    <s v="their new issues team   their ability to open accounts   their banking team"/>
    <s v="better communication   prompt responses   trying to find an appropriate solution for the context of the situation"/>
  </r>
  <r>
    <n v="1223"/>
    <s v="Yes, respondent consents"/>
    <s v="PM"/>
    <s v="Senior Admin"/>
    <s v="PM Pacific"/>
    <s v="Pacific"/>
    <s v="Han Tran"/>
    <s v="Han Tran"/>
    <x v="0"/>
    <s v="English"/>
    <s v="5"/>
    <s v="10 - Extremely satisfied"/>
    <m/>
    <s v="7"/>
    <m/>
    <m/>
    <m/>
    <s v="5"/>
    <s v="There are certain things  such as  tax slip that reflect asset value at time of death. They were unable to provide over several months. It is required reporting but they still were unable to provide the distribution to beneficiary of the estate. It was done incorrectly and we were unable to correct over many months."/>
    <s v="8"/>
    <m/>
    <s v="8"/>
    <m/>
    <s v="9"/>
    <m/>
    <x v="4"/>
    <s v="The speed of service – how quickly they correct mistakes, especially the more complicated ones they tend to be one week to several months to restore or resolve an issue."/>
    <s v="They are very quick and accurate at executing trades.   We always able to talk to someone.   System is easy to use."/>
    <s v="Service person we talk to could be more knowledgeable.   For account updates they were not able to enter the information at the first try. We had to send them an email to correct it.   Fast in getiing back service."/>
  </r>
  <r>
    <n v="1227"/>
    <s v="Yes, respondent consents"/>
    <s v="IB"/>
    <s v="Senior Admin"/>
    <s v="IB East"/>
    <s v="East"/>
    <s v="Han Tran"/>
    <s v="Han Tran"/>
    <x v="2"/>
    <s v="English"/>
    <s v="10 - Extremely satisfied"/>
    <m/>
    <m/>
    <m/>
    <m/>
    <m/>
    <m/>
    <m/>
    <m/>
    <s v="10 - Extremely satisfied"/>
    <m/>
    <s v="9"/>
    <m/>
    <s v="10 - Extremely satisfied"/>
    <m/>
    <x v="0"/>
    <s v="Overall the service specific to our business; they have been extremely helpful and knowledgeable. If there are issues we can rely on the team, they have been there for a long time. I go to Angelo to resolve things quickly and aleviate any risk to our firm - he is my go to guy. We have a great relationship, have been with them for a very long time and hope to continue."/>
    <s v="settlements   borrowing and lending   the accounting group"/>
    <s v="More communication when their systems are down, when their are technical issues."/>
  </r>
  <r>
    <n v="1230"/>
    <s v="No, respondent does not consent"/>
    <s v="PM"/>
    <s v="Principal/Executive"/>
    <s v="PM West"/>
    <s v="West"/>
    <s v="Michele Hansson"/>
    <s v="Michele Hansson"/>
    <x v="0"/>
    <s v="English"/>
    <s v="1 - Extremely dissatisfied"/>
    <m/>
    <m/>
    <s v="1 - Extremely dissatisfied"/>
    <s v="Not current with available competitor technology."/>
    <m/>
    <m/>
    <m/>
    <m/>
    <s v="1 - Extremely dissatisfied"/>
    <s v="Timing."/>
    <s v="1 - Extremely dissatisfied"/>
    <s v="Terrible turn around timing. Lack of knowledge of their team in our business. Continual staff turnover."/>
    <s v="8"/>
    <m/>
    <x v="8"/>
    <s v="Dissatisfied with the services provided for the price."/>
    <s v="The reporting piece."/>
    <s v="Modernized system ability.   They need to reduce fees.   Stronger consistent customer service."/>
  </r>
  <r>
    <n v="1232"/>
    <s v="No, respondent does not consent"/>
    <s v="PM"/>
    <s v="Principal/Executive"/>
    <s v="PM Pacific"/>
    <s v="Pacific"/>
    <s v="Han Tran"/>
    <s v="Han Tran"/>
    <x v="2"/>
    <s v="English"/>
    <s v="10 - Extremely satisfied"/>
    <s v="10 - Extremely satisfied"/>
    <m/>
    <s v="8"/>
    <m/>
    <s v="A similar experience"/>
    <m/>
    <m/>
    <m/>
    <s v="10 - Extremely satisfied"/>
    <m/>
    <m/>
    <m/>
    <s v="9"/>
    <m/>
    <x v="7"/>
    <s v="Great service but expensive custodial fees and transaction fees."/>
    <s v="Great technology.   Excellent customer service.   Excellent customer communication."/>
    <s v="Focus on improving technology.   Consolidating technological platforms."/>
  </r>
  <r>
    <n v="1233"/>
    <s v="Yes, respondent consents"/>
    <s v="PM"/>
    <s v="Senior Admin"/>
    <s v="PM Pacific"/>
    <s v="Pacific"/>
    <s v="Han Tran"/>
    <s v="Han Tran"/>
    <x v="3"/>
    <s v="English"/>
    <s v="8"/>
    <m/>
    <m/>
    <s v="7"/>
    <m/>
    <m/>
    <m/>
    <s v="6"/>
    <s v="There is often a back log on the estates and it creates extra time. It can be difficult to get straight answer from estates."/>
    <s v="7"/>
    <m/>
    <s v="7"/>
    <m/>
    <s v="DNK/NOT APPLICABLE"/>
    <m/>
    <x v="6"/>
    <s v="I dont have experience with other custodians so I cant compare. However, I have seen a lot of progress and improvement in the last 5 years."/>
    <s v="They employ a lot of people that have expert knowledge in the field.   A desire to improve based on customer feed back   A desire to improve platforms such as Compass and Onboarding"/>
    <s v="Sticking with a standard service turn around time to ensure all employees are responding to emails in that time.   Do a better job doing quick updates. For example, there is one for Onboarding for FHSA's that we have been waiting for one and half years.   Employees not reading entire email and responding. It creates a lot of back and forth"/>
  </r>
  <r>
    <n v="793"/>
    <s v="Yes, respondent consents"/>
    <s v="PM"/>
    <s v="Senior Admin"/>
    <s v="PM Ontario"/>
    <s v="Ont"/>
    <s v="Todd Brennand"/>
    <s v="T Brennand"/>
    <x v="1"/>
    <s v="English"/>
    <s v="8"/>
    <m/>
    <m/>
    <s v="8"/>
    <m/>
    <s v="A better experience with NBIN"/>
    <s v="They are faster and more responsive to inquires and emails. They are more organized. We have another custodian rolling out new portal - it took a couple of months and was frustrating"/>
    <m/>
    <m/>
    <m/>
    <m/>
    <s v="8"/>
    <m/>
    <s v="DNK/NOT APPLICABLE"/>
    <m/>
    <x v="0"/>
    <s v="Any issues or hiccups we have, they are responsive and communicative. They put things out and are proactive."/>
    <s v="committment   proactiveness   willingness to do better"/>
    <s v="The teams generic email. I do like to triage to. I prefer to have a dedicated person."/>
  </r>
  <r>
    <n v="1242"/>
    <s v="Yes, respondent consents"/>
    <s v="IB"/>
    <s v="Principal/Executive"/>
    <s v="IB Ontario"/>
    <s v="Ont"/>
    <s v="Nick Sarazin"/>
    <s v="Nick Sarazin"/>
    <x v="3"/>
    <s v="English"/>
    <s v="6"/>
    <m/>
    <m/>
    <m/>
    <m/>
    <m/>
    <m/>
    <m/>
    <m/>
    <m/>
    <m/>
    <m/>
    <m/>
    <s v="8"/>
    <m/>
    <x v="6"/>
    <s v="I'm happy with NBIN but do feel like they are taking away services rather than the services they have historically provided. It is going to wrong direction. There is not a lot of competition and that is part of the problem. Not being able to write 3rd party cheques has a loss."/>
    <s v="That they exist in the first palace to allow small independant brokers access to a back office."/>
    <m/>
  </r>
  <r>
    <n v="1245"/>
    <s v="No, respondent does not consent"/>
    <s v="PM"/>
    <s v="Principal/Executive"/>
    <s v="PM East"/>
    <s v="East"/>
    <s v="Matthew Pollock"/>
    <s v="M Pollock"/>
    <x v="2"/>
    <s v="French"/>
    <s v="6"/>
    <s v="7"/>
    <m/>
    <m/>
    <m/>
    <m/>
    <m/>
    <s v="2"/>
    <s v="ca fait plus qu'un an que le monsieur est decede et les comptes ne sont pas transferes a sa conjointe et il recoit encore des declarations dimpot a faire"/>
    <s v="6"/>
    <s v="une fois sur deux j'ai de la misere avec les transfers- des qu'il y a un pronbleme j'ai de la misere avoir de l'aide"/>
    <s v="3"/>
    <s v="Souvent je fait une requete pour l'aide on me revient avec quelque chose de generique - et je cours apres pendant des des mois et  en plus rien n'a ete fait et le client n'est pas satisfait ."/>
    <s v="7"/>
    <m/>
    <x v="3"/>
    <s v="C'est lourd d'un point de vue administratif"/>
    <s v="Certains staff sont tres bons et si on peut mettre la main  decu ca va tres bien   non   non"/>
    <s v="S'assurer que le probleme du client est regler-une personne par suivi   non   non"/>
  </r>
  <r>
    <n v="1249"/>
    <s v="Yes, respondent consents"/>
    <s v="PM"/>
    <s v="Senior Admin"/>
    <s v="PM Pacific"/>
    <s v="Pacific"/>
    <s v="Han Tran"/>
    <s v="Han Tran"/>
    <x v="0"/>
    <s v="English"/>
    <s v="9"/>
    <s v="10 - Extremely satisfied"/>
    <m/>
    <s v="10 - Extremely satisfied"/>
    <m/>
    <m/>
    <m/>
    <s v="7"/>
    <m/>
    <s v="8"/>
    <m/>
    <s v="9"/>
    <m/>
    <s v="10 - Extremely satisfied"/>
    <m/>
    <x v="0"/>
    <s v="NBIN is a critical partner in our relationship working together for our clients. They provide smooth and efficient custodial services in doing so. From Patrick as president and on down, the entire NBIN team has a culture of excellence, and they're a pleasure to work with."/>
    <s v="Culture   Teamwork   Attitude"/>
    <s v="Ongoing training of new team members."/>
  </r>
  <r>
    <n v="808"/>
    <s v="Yes, respondent consents"/>
    <s v="PM"/>
    <s v="Principal/Executive"/>
    <s v="PM Ontario"/>
    <s v="Ont"/>
    <s v="Paulo Demarco"/>
    <s v="Paulo Demarco"/>
    <x v="1"/>
    <s v="English"/>
    <s v="8"/>
    <m/>
    <m/>
    <m/>
    <m/>
    <m/>
    <m/>
    <m/>
    <m/>
    <m/>
    <m/>
    <m/>
    <m/>
    <s v="6"/>
    <s v="It was brought to our attention that the online reporting was inaccurate. This was directly from the clients not NBIN. I would think that if things were working properly, there would be some type of disclaimer on NBIN web site that alerts clients to inaccuracies or potential problems."/>
    <x v="0"/>
    <s v="Regarding the entire package we are very pleased with the work done at NBIN."/>
    <s v="A sense of partnership in servicing clients.   We have had a lengthly relationship with the team which is important.   There is a good flow of information at senior levels."/>
    <s v="On the banking side there is an opportunity to assit firms in intergeneral transitioning.   Given that other custodians are pitching themselves as a viable alternative, it would be good to understand how NBIN is positioning themselves to service firms like ours in the medium to long run."/>
  </r>
  <r>
    <n v="1255"/>
    <s v="Yes, respondent consents"/>
    <s v="PM"/>
    <s v="Senior Admin"/>
    <s v="PM Pacific"/>
    <s v="Pacific"/>
    <s v="Han Tran"/>
    <s v="Han Tran"/>
    <x v="2"/>
    <s v="English"/>
    <s v="10 - Extremely satisfied"/>
    <s v="8"/>
    <m/>
    <s v="8"/>
    <m/>
    <m/>
    <m/>
    <m/>
    <m/>
    <m/>
    <m/>
    <s v="10 - Extremely satisfied"/>
    <m/>
    <s v="10 - Extremely satisfied"/>
    <m/>
    <x v="0"/>
    <s v="If you have the right type of client and the  services fit the clients needs then yes"/>
    <m/>
    <m/>
  </r>
  <r>
    <n v="835"/>
    <s v="Yes, respondent consents"/>
    <s v="PM"/>
    <s v="Principal/Executive"/>
    <s v="PM West"/>
    <s v="West"/>
    <s v="Michele Hansson"/>
    <s v="Michele Hansson"/>
    <x v="1"/>
    <s v="English"/>
    <s v="9"/>
    <m/>
    <m/>
    <m/>
    <m/>
    <m/>
    <m/>
    <s v="9"/>
    <m/>
    <s v="6"/>
    <s v="Its specifically delays related to what's called the revoke and appoint process and clients are invested in pool funds at the previous.investment firm"/>
    <s v="9"/>
    <m/>
    <s v="8"/>
    <m/>
    <x v="0"/>
    <s v="They're the larges in Canada. They have the expertise and experience to do the business."/>
    <s v="Size and scale.   People.   Technology."/>
    <s v="Nothing comes to mind."/>
  </r>
  <r>
    <n v="836"/>
    <s v="Yes, respondent consents"/>
    <s v="PM"/>
    <s v="Senior Admin"/>
    <s v="PM East"/>
    <s v="East"/>
    <s v="Matthew Pollock"/>
    <s v="M Pollock"/>
    <x v="1"/>
    <s v="English"/>
    <s v="8"/>
    <s v="8"/>
    <m/>
    <s v="7"/>
    <m/>
    <m/>
    <m/>
    <m/>
    <m/>
    <s v="5"/>
    <s v="It was a transfer out, and it was extremely slow. I found it to be unacceptable for how slow it was, since I thought it was supposed to be done through an automated system."/>
    <s v="8"/>
    <m/>
    <s v="8"/>
    <m/>
    <x v="0"/>
    <s v="They're the only custodian we have had experience with. In terms of having an overall package, they do a fairly good job. I would certainly suggest them to others, but it is the client's job to do due diligence to end up using them or not."/>
    <s v="Their overall solutions as a whole package.   Their client portal.   Their onboarding process for new clients."/>
    <s v="At the security level, their software has a bad habit of going out of balance. It's almost as though I can't rely on their statements for accurate numbers and records that I could then give to clients. It's the book value over time that can change.   The incorrect value will still appear on the tax slip, and will not get updated, which is a major issue as it causes confusion for our clients, and it can also lead to CRA audits.   I don't even know who to escalate this issue to, as NBIN has told us in the past that there's nothing that they can do about the tax slips."/>
  </r>
  <r>
    <n v="1262"/>
    <s v="Yes, respondent consents"/>
    <s v="PM"/>
    <s v="Senior Admin"/>
    <s v="PM Ontario"/>
    <s v="Ont"/>
    <s v="Todd Brennand"/>
    <s v="T Brennand"/>
    <x v="0"/>
    <s v="English"/>
    <s v="5"/>
    <m/>
    <m/>
    <s v="7"/>
    <m/>
    <m/>
    <m/>
    <s v="6"/>
    <s v="In the past 6-12 months accuracy has gone up but delays  in response time remain an issue. I get the impression that they are severely understaffed."/>
    <s v="4"/>
    <s v="Delays in response time from the transfer team. There are scheduled follow ups and we have to follow to find out why they were not completed. This results in back and forth. Also getting accurate information."/>
    <s v="3"/>
    <s v="The recent move to a specialist team model, the teams lacking in every specialty area. They are severely understaff to the point where it has taken 3 days to get a response. They have undertrained staff also issues with the accuracy of information. I have notice this since March."/>
    <s v="9"/>
    <m/>
    <x v="5"/>
    <s v="The specialty teams, day to day back office support is not where we need it to be."/>
    <s v="The responsiveness of senior leadership.   market share   desire to improve"/>
    <s v="Serious hiring and training   Take the feedback - like this to heart on how they execute on improvements"/>
  </r>
  <r>
    <n v="1266"/>
    <s v="No, respondent does not consent"/>
    <s v="PM"/>
    <s v="Principal/Executive"/>
    <s v="PM Ontario"/>
    <s v="Ont"/>
    <s v="Paulo Demarco"/>
    <s v="Paulo Demarco"/>
    <x v="0"/>
    <s v="English"/>
    <s v="4"/>
    <s v="9"/>
    <m/>
    <s v="7"/>
    <m/>
    <m/>
    <m/>
    <s v="9"/>
    <m/>
    <m/>
    <m/>
    <s v="2"/>
    <s v="The response time is way too long, there is no follow up and no urgency at all."/>
    <s v="8"/>
    <m/>
    <x v="3"/>
    <s v="In our opinion, customer service is going down. We are entrench with NBIN but there might be alternatives out there where service levels are higher."/>
    <s v="electronic access   trading   Our account manager; Paulo Demarco. He has been fantastic and is the main reason we have are very happy."/>
    <s v="customer service   Access to the account reresentative by phone.   Follow up on requests."/>
  </r>
  <r>
    <n v="857"/>
    <s v="Yes, respondent consents"/>
    <s v="IB"/>
    <s v="Senior Admin"/>
    <s v="IB Ontario"/>
    <s v="Ont"/>
    <s v="Nick Sarazin"/>
    <s v="Nick Sarazin"/>
    <x v="1"/>
    <s v="English"/>
    <s v="5"/>
    <m/>
    <m/>
    <m/>
    <m/>
    <m/>
    <m/>
    <s v="6"/>
    <s v="It has gotten better and that is why it is a 6. I dont think they are still coming to the party and  can still do a better job. There are a lot of new people and I  dont know if everybody is at same level. Not just talking about client services but everybody. Because they had issues with fraud, the estate department has really gone down hill. It is the clients money  cant do this and that and putting up road blocks. They have a different levels of people with different competency. If I get a competent person I know it will be done right. If it someone different, I don't know. People are coming to work but not showing up."/>
    <m/>
    <m/>
    <m/>
    <m/>
    <s v="8"/>
    <m/>
    <x v="0"/>
    <s v="Because I am confident they will get it at some point."/>
    <s v="Their long term employees."/>
    <s v="Do the job. People coming in, need to show up to do the work not just come in."/>
  </r>
  <r>
    <n v="1274"/>
    <s v="Yes, respondent consents"/>
    <s v="IB"/>
    <s v="Senior Admin"/>
    <s v="IB West"/>
    <s v="West"/>
    <s v="Michele Hansson"/>
    <s v="Michele Hansson"/>
    <x v="3"/>
    <s v="English"/>
    <s v="7"/>
    <m/>
    <m/>
    <s v="7"/>
    <m/>
    <m/>
    <m/>
    <m/>
    <m/>
    <s v="7"/>
    <m/>
    <s v="8"/>
    <m/>
    <s v="8"/>
    <m/>
    <x v="0"/>
    <s v="I've worked with NBIN for 20 yrs and had other experiences with other brokers and NBIN is the best"/>
    <s v="knowledge   communication   easy to get along with"/>
    <s v="technology   project management could be  a little bit faster - timeliness of their projects   adopting to institutional business"/>
  </r>
  <r>
    <n v="1277"/>
    <s v="Yes, respondent consents"/>
    <s v="PM"/>
    <s v="Senior Admin"/>
    <s v="PM Ontario"/>
    <s v="Ont"/>
    <s v="Paulo Demarco"/>
    <s v="Paulo Demarco"/>
    <x v="3"/>
    <s v="English"/>
    <s v="6"/>
    <s v="8"/>
    <m/>
    <s v="7"/>
    <m/>
    <s v="A better experience with NBIN"/>
    <s v="The user interface is easy use."/>
    <s v="7"/>
    <m/>
    <s v="5"/>
    <s v="We had an account where were to receive cash only. NBIN accepted securities as well as cash. The old broker accepted the security and put the onus on us to fix the problem. This caused alot of problems."/>
    <s v="8"/>
    <m/>
    <s v="8"/>
    <m/>
    <x v="4"/>
    <s v="We have had a good experience but is not perfect. I dont know about the other competitors."/>
    <s v="Technology services   The management team   The trading platform"/>
    <s v="The day to day customer service   Less downtime in technology services."/>
  </r>
  <r>
    <n v="872"/>
    <s v="Yes, respondent consents"/>
    <s v="PM"/>
    <s v="Principal/Executive"/>
    <s v="PM Ontario"/>
    <s v="Ont"/>
    <s v="Paulo Demarco"/>
    <s v="Paulo Demarco"/>
    <x v="1"/>
    <s v="English"/>
    <s v="9"/>
    <m/>
    <m/>
    <s v="9"/>
    <m/>
    <m/>
    <m/>
    <s v="7"/>
    <m/>
    <m/>
    <m/>
    <m/>
    <m/>
    <s v="9"/>
    <m/>
    <x v="0"/>
    <s v="Ease of use. Professionalism and friendliness of staff. The variety of services available."/>
    <s v="Quality of offering   Number of services available   Professional, friendly, and helpful staff. And ease of use."/>
    <s v="More training, and consistent responses from the account management team.   An enhanced process for feedback and timelines for submitted requests."/>
  </r>
  <r>
    <n v="1279"/>
    <s v="No, respondent does not consent"/>
    <s v="PM"/>
    <s v="Senior Admin"/>
    <s v="PM East"/>
    <s v="East"/>
    <s v="Matthew Pollock"/>
    <s v="M Pollock"/>
    <x v="2"/>
    <s v="English"/>
    <s v="5"/>
    <s v="2"/>
    <s v="They are softer and outdate compared to the competition. Their bulk trading is manual rather than automated."/>
    <s v="7"/>
    <m/>
    <s v="A worse experience with NBIN"/>
    <s v="Nearly not as much investment in their technology compared to our U.S. custodians."/>
    <m/>
    <m/>
    <s v="3"/>
    <s v="Lack of access to the people doing the transactions. We have to go through a 3rd party and they can make mistakes or provide the wrong information."/>
    <m/>
    <m/>
    <s v="5"/>
    <s v="It is not integral to our business so I just rated it as average."/>
    <x v="3"/>
    <s v="NBIN suits our needs for the niche market we are in. They do an OK job but nothing impressive."/>
    <s v="brand recognition.   U.S. dollar access.   Our representative does a good job when we need to communicate for more sophistocated  issues."/>
    <s v="A more clear transfer process.   A better trading platform.   A more dedicated service team."/>
  </r>
  <r>
    <n v="877"/>
    <s v="No, respondent does not consent"/>
    <s v="PM"/>
    <s v="Principal/Executive"/>
    <s v="PM Ontario"/>
    <s v="Ont"/>
    <s v="Todd Brennand"/>
    <s v="T Brennand"/>
    <x v="1"/>
    <s v="English"/>
    <s v="8"/>
    <m/>
    <m/>
    <m/>
    <m/>
    <m/>
    <m/>
    <m/>
    <m/>
    <m/>
    <m/>
    <m/>
    <m/>
    <s v="8"/>
    <m/>
    <x v="0"/>
    <s v="I think that the service I get from my rep is good, they are best of their people. The options they give as well as their desire to be at the  the top of their field and and being willing to serve to us and our clients the best service, this is real."/>
    <s v="Service.   Tech skill.   Pricing."/>
    <s v="A reduction in the amount of errors on the reporting basis.   N/A   N/A"/>
  </r>
  <r>
    <n v="1283"/>
    <s v="No, respondent does not consent"/>
    <s v="PM"/>
    <s v="Principal/Executive"/>
    <s v="PM East"/>
    <s v="East"/>
    <s v="Matthew Pollock"/>
    <s v="M Pollock"/>
    <x v="3"/>
    <s v="English"/>
    <s v="8"/>
    <m/>
    <m/>
    <s v="8"/>
    <m/>
    <s v="A better experience with NBIN"/>
    <s v="responsivess time and accuracy of information"/>
    <s v="7"/>
    <m/>
    <s v="6"/>
    <s v="It's a little bit of a complicated process when it comes to estates. Many back and forth with the reps there and the steps aren't the same as with our other custodian."/>
    <s v="8"/>
    <m/>
    <s v="7"/>
    <m/>
    <x v="2"/>
    <s v="With what we use NBINfor it does meets the needs of our clients. The fee structure is a little higher with NBIN than our other custodian. Considering what our client is looking for- we would or would not recommend them depending on what they are looking for."/>
    <s v="system simplicity   responsiveness   over all  good service"/>
    <s v="Their fee structure could  deter us from using NBIN for certain clients   none   none"/>
  </r>
  <r>
    <n v="1285"/>
    <s v="No, respondent does not consent"/>
    <s v="PM"/>
    <s v="Principal/Executive"/>
    <s v="PM Ontario"/>
    <s v="Ont"/>
    <s v="Paulo Demarco"/>
    <s v="Paulo Demarco"/>
    <x v="3"/>
    <s v="English"/>
    <s v="7"/>
    <s v="8"/>
    <m/>
    <s v="3"/>
    <s v="Antiquated technology -  slow and hard to learn"/>
    <m/>
    <m/>
    <s v="8"/>
    <m/>
    <s v="8"/>
    <m/>
    <s v="8"/>
    <m/>
    <s v="8"/>
    <m/>
    <x v="7"/>
    <s v="costs plus antiquated technology"/>
    <s v="promptness in getting back to you   willingness to look into a problem and do the research   willingness to promote their clients"/>
    <s v="technology   cost reduction   Better partnerships with outside technology partners in terms of cost and access to more partners"/>
  </r>
  <r>
    <n v="1298"/>
    <s v="No, respondent does not consent"/>
    <s v="IB"/>
    <s v="Principal/Executive"/>
    <s v="IB East"/>
    <s v="East"/>
    <s v="Han Tran"/>
    <s v="Han Tran"/>
    <x v="0"/>
    <s v="English"/>
    <s v="7"/>
    <s v="7"/>
    <m/>
    <s v="6"/>
    <s v="We are currently using 2 versions of Compass, the legacy and new. Their trading platform is archaic. Overall their self serve model for advisor is clunky."/>
    <m/>
    <m/>
    <m/>
    <m/>
    <s v="6"/>
    <s v="Lack of information available. Delays. Incorrect information provided."/>
    <s v="8"/>
    <m/>
    <s v="6"/>
    <s v="User access set up; we have to send emails to clients and provide temporary passwords. When they are locked out they have to call a service desk. The service model is not well defined."/>
    <x v="6"/>
    <s v="They are one of the larger providers for the model we use and they have scale."/>
    <s v="They are a major player in institutional/broker space.   Their people. The senior leaders are knowledgable.   They have the funds to advance the technology; roadmap."/>
    <s v="Consistency in day to day process.   Move faster in availability for data.   Advance technology."/>
  </r>
  <r>
    <n v="1300"/>
    <s v="Yes, respondent consents"/>
    <s v="PM"/>
    <s v="Senior Admin"/>
    <s v="PM East"/>
    <s v="East"/>
    <s v="Matthew Pollock"/>
    <s v="M Pollock"/>
    <x v="0"/>
    <s v="English"/>
    <s v="1 - Extremely dissatisfied"/>
    <s v="10 - Extremely satisfied"/>
    <m/>
    <m/>
    <m/>
    <m/>
    <m/>
    <s v="7"/>
    <m/>
    <s v="4"/>
    <s v="I have had issues where some of the transfers I initiated were rejected. I did not receive notification that they were rejected or why. Sometimes  the funds get sent back without notification and the account gets overdrawn. I suspect this has something to do with fees. The cash sweeps not automatically  done at the end of the month so there is a struggle to get in the residual payments."/>
    <s v="1 - Extremely dissatisfied"/>
    <s v="The response time is really slow. Sometimes I get a response that  tells me that I contacted wrong group and my email has not been forwarded. Sometime I get an acknowledgement of my message but then there is no follow-up. No one picks up the phone. There is no way of getting ahold of anyone there."/>
    <s v="8"/>
    <m/>
    <x v="5"/>
    <s v="The ting I like about NBIN is that we are able to process things on our own using servicing. What I dont like and struggle with is the client servicing aspect."/>
    <s v="There have been mistakes where a client contacted NBIN instead of going through their investment manager and  NBIN has been quick to let us know.   When I havent been getting answers from a team and I have contacted the higher ups, they have been quick to respond and and find a solution.   We use digit and it is integrated with NBIN and we get flow daily and that is helpful."/>
    <s v="Have enough employees properly trained to increase supply and service level.   The disection of different groups vrs the one group email we previously had has made things difficult. Prefer other/old way"/>
  </r>
  <r>
    <n v="932"/>
    <s v="No, respondent does not consent"/>
    <s v="PM"/>
    <s v="Senior Admin"/>
    <s v="PM Ontario"/>
    <s v="Ont"/>
    <s v="Paulo Demarco"/>
    <s v="Paulo Demarco"/>
    <x v="1"/>
    <s v="English"/>
    <s v="7"/>
    <s v="8"/>
    <m/>
    <s v="7"/>
    <m/>
    <m/>
    <m/>
    <m/>
    <m/>
    <s v="5"/>
    <s v="They are very good and prompt on transfers, things work well when it is a straight forward. But anything other than the basics, anything requiring thought or is not on their check list, it all fall off the rails."/>
    <s v="7"/>
    <m/>
    <s v="10 - Extremely satisfied"/>
    <m/>
    <x v="0"/>
    <s v="The senior people are very good and knowledgable in what they are doing. They try to help with your needs and are  generally competent."/>
    <m/>
    <s v="They need to work a little bit on developing skills on handling non ordinary requests. Anybody can do the easy stuff. They need to be able to deal with ad hoc situations.   Their turn around time for requests has gotten slower."/>
  </r>
  <r>
    <n v="1003"/>
    <s v="Yes, respondent consents"/>
    <s v="IB"/>
    <s v="Principal/Executive"/>
    <s v="IB East"/>
    <s v="East"/>
    <s v="Han Tran"/>
    <s v="Han Tran"/>
    <x v="1"/>
    <s v="English"/>
    <s v="8"/>
    <m/>
    <m/>
    <m/>
    <m/>
    <m/>
    <m/>
    <m/>
    <m/>
    <s v="7"/>
    <m/>
    <s v="7"/>
    <m/>
    <s v="8"/>
    <m/>
    <x v="0"/>
    <s v="The reason being its just comprehensive of service, there is depth of knowledge and I know they can it done, they can meet most workers needs."/>
    <s v="They're a Canadian Bank, backed by a robust institution bank.   Lots of knowledge and experience.   Limited to improving they're service."/>
    <s v="Their technology.   Their responsiveness to service inquiries.   Pricing."/>
  </r>
  <r>
    <n v="1305"/>
    <s v="Yes, respondent consents"/>
    <s v="PM"/>
    <s v="Senior Admin"/>
    <s v="PM Ontario"/>
    <s v="Ont"/>
    <s v="Paulo Demarco"/>
    <s v="Paulo Demarco"/>
    <x v="3"/>
    <s v="English"/>
    <s v="7"/>
    <m/>
    <m/>
    <s v="8"/>
    <m/>
    <s v="A better experience with NBIN"/>
    <s v="They offer a great system. It is more client friendly and more user friendly."/>
    <s v="6"/>
    <s v="There have been prolonged delays and morefiles not updated causing distress when the estate not settled on time. The tax team have not been helpful for the estate. Recently they have not been accurate on how they use or provide information."/>
    <s v="8"/>
    <m/>
    <s v="8"/>
    <m/>
    <s v="DNK/NOT APPLICABLE"/>
    <m/>
    <x v="6"/>
    <s v="Overall we have had a good experience over the years but  recently there have been a lot of issues. The teams have not been up to speed and there have been a lot of delay on various ends."/>
    <s v="good systems, user friendly   Teams for senior managers on all teams have been really helpful and great.   They think about what is best for client, which is a good strategy."/>
    <s v="The service model. The specialty teams are not great. Their answers are not focused on what the question is about and are more generalized.   The systems have had a lot of downtime.   The delays on teams, there have been a lot of delays. The change in service agreements make it difficult to set expectations for our clients."/>
  </r>
  <r>
    <n v="1070"/>
    <s v="Yes, respondent consents"/>
    <s v="PM"/>
    <s v="Senior Admin"/>
    <s v="PM East"/>
    <s v="East"/>
    <s v="Matthew Pollock"/>
    <s v="M Pollock"/>
    <x v="1"/>
    <s v="English"/>
    <s v="9"/>
    <s v="10 - Extremely satisfied"/>
    <m/>
    <m/>
    <m/>
    <m/>
    <m/>
    <m/>
    <m/>
    <m/>
    <m/>
    <m/>
    <m/>
    <s v="7"/>
    <m/>
    <x v="0"/>
    <s v="I mostly deal with the trading team, and I don't have anything negative to say about them. They answer my question and resolve my issue quickly."/>
    <s v="The platforms are usually user-friendly.   The service with the trading team is always simple.   NBIN's general services are really efficient."/>
    <s v="They could always try to get their platform to be better.   Increase their workforce on the administration side."/>
  </r>
  <r>
    <n v="1082"/>
    <s v="Yes, respondent consents"/>
    <s v="PM"/>
    <s v="Principal/Executive"/>
    <s v="PM Ontario"/>
    <s v="Ont"/>
    <s v="Paulo Demarco"/>
    <s v="Paulo Demarco"/>
    <x v="1"/>
    <s v="English"/>
    <s v="7"/>
    <s v="9"/>
    <m/>
    <m/>
    <m/>
    <m/>
    <m/>
    <m/>
    <m/>
    <s v="5"/>
    <s v="One was a delay in a transfer between two client accounts and the second Ex: comes to mind.... problems bringing in a large amount of money into a client account."/>
    <s v="7"/>
    <m/>
    <s v="9"/>
    <m/>
    <x v="0"/>
    <s v="I would say they're reputable, well known and do act professional."/>
    <s v="I like there place in the market.  Ex: they're not a Royal Bank   They do act very professional in carrying out our wishes/goals.   They're reputable, well known."/>
    <s v="They need some sort of a short term competitive investment to bring in funds in large dollar accounts.   Have a better offering in the high network client category.   Continue to be competitive in the bond department."/>
  </r>
  <r>
    <n v="1099"/>
    <s v="Yes, respondent consents"/>
    <s v="IB"/>
    <s v="Senior Admin"/>
    <s v="IB Ontario"/>
    <s v="Ont"/>
    <s v="Nick Sarazin"/>
    <s v="Nick Sarazin"/>
    <x v="1"/>
    <s v="English"/>
    <s v="8"/>
    <m/>
    <m/>
    <m/>
    <m/>
    <m/>
    <m/>
    <m/>
    <m/>
    <m/>
    <m/>
    <s v="9"/>
    <m/>
    <s v="8"/>
    <m/>
    <x v="0"/>
    <s v="I'm not sure who else is out there. So far the services provided by NBIN have been good."/>
    <s v="When ever I have a question they try to direct to the right department or individual to get an answer."/>
    <m/>
  </r>
  <r>
    <n v="1320"/>
    <s v="Yes, respondent consents"/>
    <s v="PM"/>
    <s v="Principal/Executive"/>
    <s v="PM Ontario"/>
    <s v="Ont"/>
    <s v="Todd Brennand"/>
    <s v="T Brennand"/>
    <x v="2"/>
    <s v="English"/>
    <s v="8"/>
    <s v="8"/>
    <m/>
    <s v="7"/>
    <m/>
    <s v="A worse experience with NBIN"/>
    <s v="They are able to populate and generate more responses that are better and more detailed."/>
    <m/>
    <m/>
    <s v="5"/>
    <s v="Lack of clarity, the amount of time it takes and lack of communication."/>
    <s v="7"/>
    <m/>
    <s v="7"/>
    <m/>
    <x v="3"/>
    <s v="Cost of the custodian services. The costs that are embedded for our clients is start to add up. Having to reimburse our clients is a lot of work. We are starting to look someone that don't penny and dime us would be ideal. Consistency. I have spoken to other firms and asked for their cost breakdown and it varies. Everything is negotiated. It is is frustrating."/>
    <m/>
    <s v="More consistency   The fees keep going up and PM's have to do more of the administrative work. We are paying more and doing more administrative work and we get less value."/>
  </r>
  <r>
    <n v="1177"/>
    <s v="Yes, respondent consents"/>
    <s v="IB"/>
    <s v="Senior Admin"/>
    <s v="IB Ontario"/>
    <s v="Ont"/>
    <s v="Michele Hansson"/>
    <s v="Michele Hansson"/>
    <x v="1"/>
    <s v="English"/>
    <s v="9"/>
    <m/>
    <m/>
    <s v="10 - Extremely satisfied"/>
    <m/>
    <s v="A better experience with NBIN"/>
    <s v="If I have an issue with NBIN, I have a phone number where I can call someone. With other custodians, I have to make an online request if I have an issue. Since NBIN has migrated to a new structure with specialist teams, I found that this has been faster, and this has been a service improvement for me."/>
    <m/>
    <m/>
    <s v="8"/>
    <m/>
    <s v="7"/>
    <m/>
    <s v="10 - Extremely satisfied"/>
    <m/>
    <x v="0"/>
    <s v="For NBIN, I have a contact name. That human interface makes a difference I have found. This makes the service experience better, and there's a higher expectation for getting back to me quicker, as we both know each other's names. The personal touch."/>
    <s v="The response time. When I call, I get a fairly quick response time.   They have good knowledge, as they give the correct answer the first time.   The professionalism of how they give fairly correct and accurate answers."/>
    <s v="If their system could be changed, so that I don't have to call after sending an email to follow up on that matter. If matters that are sent by email could be acted on without having to call at a later time."/>
  </r>
  <r>
    <n v="1186"/>
    <s v="No, respondent does not consent"/>
    <s v="PM"/>
    <s v="Senior Admin"/>
    <s v="PM Ontario"/>
    <s v="Ont"/>
    <s v="Paulo Demarco"/>
    <s v="Paulo Demarco"/>
    <x v="1"/>
    <s v="English"/>
    <s v="10 - Extremely satisfied"/>
    <m/>
    <m/>
    <s v="10 - Extremely satisfied"/>
    <m/>
    <s v="A similar experience"/>
    <m/>
    <m/>
    <m/>
    <m/>
    <m/>
    <s v="8"/>
    <m/>
    <s v="10 - Extremely satisfied"/>
    <m/>
    <x v="0"/>
    <s v="They are thorough approchable professional and available"/>
    <s v="Response time   Clarity of responses   Abiliity to send you to another department that can help you better"/>
    <m/>
  </r>
  <r>
    <n v="1328"/>
    <s v="Yes, respondent consents"/>
    <s v="PM"/>
    <s v="Principal/Executive"/>
    <s v="PM Ontario"/>
    <s v="Ont"/>
    <s v="Paulo Demarco"/>
    <s v="Paulo Demarco"/>
    <x v="0"/>
    <s v="English"/>
    <s v="7"/>
    <m/>
    <m/>
    <m/>
    <m/>
    <m/>
    <m/>
    <s v="5"/>
    <s v="We are dealing with a difficult issue where the children of woman suffering from dementia are trying to get her estate paid out before she is deceased to deal with probate taxes. It turns out that this is illegal. We were frustrated by NBIN refusal without explanation. If they had explained the reason for the rejection it would have been much easier for us. Eventually we used the internet and Ai to find out that it was illegal."/>
    <s v="9"/>
    <m/>
    <s v="9"/>
    <m/>
    <s v="8"/>
    <m/>
    <x v="7"/>
    <s v="NBIN is better for smaller clients. RBC or Fidelity or established trust related firms are better for larger clients e.g. pension funds. RBC's fees are too high smaller clients."/>
    <s v="Their ability to deal with smaller accounts and their flexibility on that.   Generally they do try to work with us pretty nicely."/>
    <s v="Try to be competitive with services that larger clients expect. Being a true trust company activity."/>
  </r>
  <r>
    <n v="1332"/>
    <s v="No, respondent does not consent"/>
    <s v="PM"/>
    <s v="Senior Admin"/>
    <s v="PM East"/>
    <s v="East"/>
    <s v="Matthew Pollock"/>
    <s v="M Pollock"/>
    <x v="0"/>
    <s v="English"/>
    <s v="4"/>
    <m/>
    <m/>
    <s v="8"/>
    <m/>
    <s v="A similar experience"/>
    <m/>
    <s v="7"/>
    <m/>
    <s v="4"/>
    <s v="The turn around time for answers to our questions is slow.  Getting correct answers is difficult. Having to resubmit documents numerous times is frustrating."/>
    <s v="8"/>
    <m/>
    <s v="8"/>
    <m/>
    <x v="3"/>
    <s v="I would recommend comparison to other firms as NBIN is competitively priced. However over the last 2 years service has diminished as has the level of service quality."/>
    <s v="They are competitively priced.   Their trading platform and tools."/>
    <s v="Client servicing"/>
  </r>
  <r>
    <n v="1335"/>
    <s v="Yes, respondent consents"/>
    <s v="PM"/>
    <s v="Senior Admin"/>
    <s v="PM Pacific"/>
    <s v="Pacific"/>
    <s v="Han Tran"/>
    <s v="Han Tran"/>
    <x v="2"/>
    <s v="English"/>
    <s v="7"/>
    <s v="8"/>
    <m/>
    <s v="8"/>
    <m/>
    <s v="A better experience with NBIN"/>
    <s v="Fidelity does not have the relationship manager set up  so that if problems occur it take 2-3 time longer to solve than with NBIN"/>
    <m/>
    <m/>
    <s v="7"/>
    <m/>
    <s v="7"/>
    <m/>
    <s v="7"/>
    <m/>
    <x v="0"/>
    <s v="For indepdant portfolio managers, National Bank is the best out there. For tax reporting NBIN is still behind. They removed Argus which was a great research service. There are issues with T1135's - include them into the tax reporting. The times from when we have to problem to resolving it takes 2-3 days. New client approvals and document updates are taking 48 hours to get done. Elimination of PM west where we had faster response to issues is not good. We are dealing more junior employees and coordinators than in the past and it has slowed down results. Everything is slow and can take 2 days to get a response. Any new account client updates take 48 hours."/>
    <s v="The ability for me to talk to a relationship manager or someone else directly to get problems resolved.   It is a bank and recognizable. There is no hesitency on the part of client.   It is a workable system to get things done. My knowledge of how to make things happen is the glue."/>
    <s v="Add T1135 into tax reporting   Faster response and turn around times   The Relationship Manager has to focus of trying to look at things from my perspective - to solve problems - my problems"/>
  </r>
  <r>
    <n v="1204"/>
    <s v="Yes, respondent consents"/>
    <s v="PM"/>
    <s v="Principal/Executive"/>
    <s v="PM Ontario"/>
    <s v="Ont"/>
    <s v="Paulo Demarco"/>
    <s v="Paulo Demarco"/>
    <x v="1"/>
    <s v="English"/>
    <s v="10 - Extremely satisfied"/>
    <s v="10 - Extremely satisfied"/>
    <m/>
    <s v="9"/>
    <m/>
    <m/>
    <m/>
    <s v="10 - Extremely satisfied"/>
    <m/>
    <m/>
    <m/>
    <s v="9"/>
    <m/>
    <s v="8"/>
    <m/>
    <x v="0"/>
    <s v="Head and shoulders capability and service level above competitors. Very nice people."/>
    <s v="Broad capabilities   Flexibility   friendly serv"/>
    <s v="Cross boarder capabilities"/>
  </r>
  <r>
    <n v="1307"/>
    <s v="Yes, respondent consents"/>
    <s v="PM"/>
    <s v="Principal/Executive"/>
    <s v="PM Ontario"/>
    <s v="Ont"/>
    <s v="Paulo Demarco"/>
    <s v="Paulo Demarco"/>
    <x v="1"/>
    <s v="English"/>
    <s v="8"/>
    <m/>
    <m/>
    <m/>
    <m/>
    <m/>
    <m/>
    <m/>
    <m/>
    <m/>
    <m/>
    <m/>
    <m/>
    <s v="9"/>
    <m/>
    <x v="0"/>
    <s v="Good knowledge technology and responsiveness and experience and support"/>
    <s v="technolgy   support   knowledge of the independant investment council business"/>
    <s v="Business development support   Cash management in client accounts   none"/>
  </r>
  <r>
    <n v="1351"/>
    <s v="No, respondent does not consent"/>
    <s v="IB"/>
    <s v="Principal/Executive"/>
    <s v="IB East"/>
    <s v="East"/>
    <s v="Han Tran"/>
    <s v="Han Tran"/>
    <x v="1"/>
    <s v="English"/>
    <s v="10 - Extremely satisfied"/>
    <m/>
    <m/>
    <s v="8"/>
    <m/>
    <s v="A similar experience"/>
    <m/>
    <m/>
    <m/>
    <m/>
    <m/>
    <m/>
    <m/>
    <s v="10 - Extremely satisfied"/>
    <m/>
    <x v="0"/>
    <s v="Just haven't had many issues,  no problems so far."/>
    <s v="Customer Service.   Knowledge.   The people there, the team."/>
    <s v="I don't see that much right now. I don't interact that much."/>
  </r>
  <r>
    <n v="1342"/>
    <s v="No, respondent does not consent"/>
    <s v="PM"/>
    <s v="Senior Admin"/>
    <s v="PM West"/>
    <s v="West"/>
    <s v="Michele Hansson"/>
    <s v="Michele Hansson"/>
    <x v="0"/>
    <s v="English"/>
    <s v="8"/>
    <s v="10 - Extremely satisfied"/>
    <m/>
    <s v="7"/>
    <m/>
    <m/>
    <m/>
    <s v="7"/>
    <m/>
    <s v="8"/>
    <m/>
    <s v="9"/>
    <m/>
    <s v="10 - Extremely satisfied"/>
    <m/>
    <x v="0"/>
    <s v="They help support our business. They are a good partner to work with."/>
    <s v="Knowledge of getting back to you on questions and answer correctly.   The speed at which they get back to you on results."/>
    <s v="Improve how the roll out of technology. The Compass roll out has been disjointed and the roll out has not been completed.   The initial response time for the service email seems to have slowed down a bit."/>
  </r>
  <r>
    <n v="1343"/>
    <s v="Yes, respondent consents"/>
    <s v="PM"/>
    <s v="Principal/Executive"/>
    <s v="PM Pacific"/>
    <s v="Pacific"/>
    <s v="Nick Sarazin"/>
    <s v="Nick Sarazin"/>
    <x v="2"/>
    <s v="English"/>
    <s v="7"/>
    <s v="9"/>
    <m/>
    <s v="5"/>
    <s v="there's too many  multiple systems and interfaces that we have to use to pull data and it would be much easier if it was consolidated into one online platform"/>
    <s v="A similar experience"/>
    <m/>
    <m/>
    <m/>
    <s v="3"/>
    <s v="this is the same one -it took 2 months to get transfer completed. There was extensive back and forth communication bw my team and nbin team and rbc team - it felt like everytime we would make a little progress the case would get assigned to a new person at nbin and the process would start  all mover again"/>
    <s v="4"/>
    <s v="we had a request to tranfer an account from another firm and it took almost 2 months to complete and it was not a good experience"/>
    <s v="4"/>
    <s v="not very robust and the functionality of the online platforms is not great"/>
    <x v="4"/>
    <s v="nbin is our prefered provider while we have had issues we still prefer to work them"/>
    <s v="the ability to work with independant advisors   trading capabilities are good   their willingness to engage with independant firms like ours sets them apart as well"/>
    <s v="their support team structure could be improved   response time could be improved   online technolgy platform could be improved"/>
  </r>
  <r>
    <n v="1344"/>
    <s v="No, respondent does not consent"/>
    <s v="IB"/>
    <s v="Senior Admin"/>
    <s v="IB West"/>
    <s v="West"/>
    <s v="Michele Hansson"/>
    <s v="Michele Hansson"/>
    <x v="2"/>
    <s v="English"/>
    <s v="7"/>
    <s v="9"/>
    <m/>
    <m/>
    <m/>
    <m/>
    <m/>
    <m/>
    <m/>
    <m/>
    <m/>
    <s v="10 - Extremely satisfied"/>
    <m/>
    <s v="8"/>
    <m/>
    <x v="6"/>
    <s v="We have not used them substantially. It would be a cost benefit analysis. They have been very helpful but the cost was high when we looked into it to change our offering."/>
    <s v="partership   relationship management   scalability"/>
    <s v="cost   responsiveness at a relationship manager level   The roll over of customer service was tricky with other line of business. Getting support was tricky."/>
  </r>
  <r>
    <n v="1361"/>
    <s v="Yes, respondent consents"/>
    <s v="PM"/>
    <s v="Principal/Executive"/>
    <s v="PM Pacific"/>
    <s v="Pacific"/>
    <s v="Han Tran"/>
    <s v="Han Tran"/>
    <x v="1"/>
    <s v="English"/>
    <s v="9"/>
    <s v="10 - Extremely satisfied"/>
    <m/>
    <s v="8"/>
    <m/>
    <s v="A similar experience"/>
    <m/>
    <m/>
    <m/>
    <s v="10 - Extremely satisfied"/>
    <m/>
    <m/>
    <m/>
    <s v="10 - Extremely satisfied"/>
    <m/>
    <x v="0"/>
    <s v="Resources and scale of NBIN and the technology package."/>
    <s v="The brand   The scale of the organization   Its people"/>
    <s v="Bring about an electronic bond trading platform.   Assigning a specific service representative to a firm rather than departments.   Modernize the equity trading platform"/>
  </r>
  <r>
    <n v="1354"/>
    <s v="No, respondent does not consent"/>
    <s v="IB"/>
    <s v="Principal/Executive"/>
    <s v="IB Ontario"/>
    <s v="Ont"/>
    <s v="Nick Sarazin"/>
    <s v="Nick Sarazin"/>
    <x v="2"/>
    <s v="English"/>
    <s v="9"/>
    <s v="10 - Extremely satisfied"/>
    <m/>
    <s v="8"/>
    <m/>
    <m/>
    <m/>
    <m/>
    <m/>
    <s v="8"/>
    <m/>
    <s v="10 - Extremely satisfied"/>
    <m/>
    <s v="9"/>
    <m/>
    <x v="0"/>
    <s v="We have had almost 2 decade relationship with NBIN. We appreciate their service and their expertise in the industry of prime brokerage funds. Their experience in helping us manage funds. Their experience in custody of our funds to help preform services for our client with the funds."/>
    <s v="expertise   client servicing   knowledge"/>
    <s v="technology   move the survey to something web based"/>
  </r>
  <r>
    <n v="1356"/>
    <s v="No, respondent does not consent"/>
    <s v="PM"/>
    <s v="Principal/Executive"/>
    <s v="PM Ontario"/>
    <s v="Ont"/>
    <s v="Paulo Demarco"/>
    <s v="Paulo Demarco"/>
    <x v="2"/>
    <s v="English"/>
    <s v="7"/>
    <s v="6"/>
    <s v="Their technology is outdated. There is a lack of readily available information to compute equity trades."/>
    <s v="5"/>
    <s v="Their technology is outdated. While there is some new update electronic offerings, the old system and new system dont flow that well together. There should be a better way to understand the transfer process from other custodians. Different systems give different status responses. One part says it is denied while the other part says it is pending."/>
    <m/>
    <m/>
    <m/>
    <m/>
    <s v="7"/>
    <m/>
    <s v="8"/>
    <m/>
    <s v="9"/>
    <m/>
    <x v="6"/>
    <s v="NBIN does good job preforming its core function as custodian but its technology is behind that of their competitors."/>
    <s v="Its relationship with the National Bank of Canada related to it being a systemically important bank.   Their ability to leverage other groups across National Bank.   Scale"/>
    <s v="Technology offering   Incremental service support"/>
  </r>
  <r>
    <n v="1360"/>
    <s v="Yes, respondent consents"/>
    <s v="IB"/>
    <s v="Senior Admin"/>
    <s v="IB East"/>
    <s v="East"/>
    <s v="Han Tran"/>
    <s v="Han Tran"/>
    <x v="0"/>
    <s v="English"/>
    <s v="5"/>
    <s v="7"/>
    <m/>
    <m/>
    <m/>
    <m/>
    <m/>
    <m/>
    <m/>
    <m/>
    <m/>
    <m/>
    <m/>
    <s v="DNK/NOT APPLICABLE"/>
    <m/>
    <x v="7"/>
    <s v="For our type of business, which is as a introducing broker and not a fund manager, NBIN is less reliable today than they were two years ago. Their business model is shifting away from specific services for introducing brokers and any recommendation I would be giving to a brokerage like ours would be effected by their shift away from our type of business as a core NBIN focus."/>
    <s v="Their balance sheet."/>
    <s v="Providing more experienced points of contact for specific needs.   Improving their responsiveness.   More proactive in supporting their introducing broker network."/>
  </r>
  <r>
    <n v="1367"/>
    <s v="Yes, respondent consents"/>
    <s v="PM"/>
    <s v="Principal/Executive"/>
    <s v="PM Ontario"/>
    <s v="Ont"/>
    <s v="Paulo Demarco"/>
    <s v="Paulo Demarco"/>
    <x v="1"/>
    <s v="English"/>
    <s v="8"/>
    <s v="10 - Extremely satisfied"/>
    <m/>
    <s v="8"/>
    <m/>
    <m/>
    <m/>
    <m/>
    <m/>
    <m/>
    <m/>
    <m/>
    <m/>
    <s v="10 - Extremely satisfied"/>
    <m/>
    <x v="0"/>
    <s v="They understand the business. They have systems in place. They have the experience and resources. They care."/>
    <s v="Experience.   Depth of knowledge in the industry.   They care in serving us and our clients."/>
    <s v="I'd like to have better clarity on consolidating trading for our firm via NBIN.   A more effective response they have confirmed a new task to execute. For example, if we are messaging estates on a request, estates is coming back saying they received the notice and they will get back to us in 24 to 48 hours or something like that.   The whole Compass NetRep could be a little bit better, systems access. System singularity."/>
  </r>
  <r>
    <n v="1364"/>
    <s v="No, respondent does not consent"/>
    <s v="PM"/>
    <s v="Senior Admin"/>
    <s v="PM Ontario"/>
    <s v="Ont"/>
    <s v="Todd Brennand"/>
    <s v="T Brennand"/>
    <x v="0"/>
    <s v="English"/>
    <s v="9"/>
    <m/>
    <m/>
    <s v="9"/>
    <m/>
    <m/>
    <m/>
    <s v="5"/>
    <s v="We've had some difficulty with the estate team on communication and service levels  and the portal we use is not user friendly to us and the expectations are not clear - there's not a lot clarity."/>
    <s v="8"/>
    <m/>
    <s v="8"/>
    <m/>
    <s v="7"/>
    <m/>
    <x v="2"/>
    <s v="Their IT infrastucture is good and custody services is good  and the staff is knowleable and they are vey informative but the difficiencies are Estate and Trading service as well as  some on onboarding but overall they are very good"/>
    <s v="They are  the industry leader in custody services   They do boast a competant  and knowledgeable staff   Their IT network overall is pretty good"/>
    <s v="estate processing   better transparency or assistance with specific items - which they do address now with specific silos   consistancy and accuracy of info from support team"/>
  </r>
  <r>
    <n v="1365"/>
    <s v="No, respondent does not consent"/>
    <s v="PM"/>
    <s v="Senior Admin"/>
    <s v="PM East"/>
    <s v="East"/>
    <s v="Matthew Pollock"/>
    <s v="M Pollock"/>
    <x v="2"/>
    <s v="English"/>
    <s v="6"/>
    <m/>
    <m/>
    <s v="8"/>
    <m/>
    <s v="A similar experience"/>
    <m/>
    <m/>
    <m/>
    <s v="3"/>
    <s v="There's allot of pain points in the transfer process. We understand its because were dealing with cross border transfers. Delays upwards of two to three months for a five million dollar transfer is just not acceptable. We were able to figure out what happened before NBIN did and it stands out, and a lot of money. The follow up process that NBIN has....ex: They just have as soon as you log a task, it will say plus six days or whatever it is. It doesn't feel like there is any ownership on NBINs part that they are owning the task and making sure that it happens."/>
    <m/>
    <m/>
    <s v="8"/>
    <m/>
    <x v="7"/>
    <s v="On the Canadian side on the exclusively side on how we interact with NBIN, but if the firm is looking for cross border, NBIN is not as cross border friendly as they have put themselves out to be. Were a minority of the market, I get it, that's why."/>
    <s v="Escalation ability.   The technology platform- really allows advisors to do everything for the clients."/>
    <s v="Direct communication with transfers team.   More comprehensive training of staff who are on the emails or phone lines so that we don't need to make the same call three times to validate the information we received.   Updating the onboarding forms to be consistent to what is and is not automated in the onboarding and transfer service."/>
  </r>
  <r>
    <n v="1059"/>
    <s v="No, respondent does not consent"/>
    <s v="PM"/>
    <s v="Senior Admin"/>
    <s v="PM Pacific"/>
    <s v="Pacific"/>
    <s v="Han Tran"/>
    <s v="Han Tran"/>
    <x v="1"/>
    <s v="English"/>
    <s v="3"/>
    <s v="9"/>
    <m/>
    <s v="2"/>
    <s v="The book of record has book value issues. The coding between Legacy-Compass and LegacyX is inconsistent impacting my processes. There are issues with access where it is inconsistent with users at my firm. CompassX is built in way that does reflect legacy transactions easily - I have to look in two systems for instructions."/>
    <s v="A worse experience with NBIN"/>
    <s v="Detailed in previous answer but summary of reasons are: inconsistencies, access and book value."/>
    <m/>
    <m/>
    <s v="3"/>
    <s v="Their transfer team incorrectly interpreted instructions leading to potential hundreds of thousands in gains and having a tax impact on my client."/>
    <s v="3"/>
    <s v="They incorrectly coded information leading to errors and a bad experience. We need accuracy the first time."/>
    <s v="DNK/NOT APPLICABLE"/>
    <m/>
    <x v="8"/>
    <s v="Incorrect information, delays in communication and incorrect answers. The are beaurocratic and it takes a long time to get a simple answer. An example was when we submitted a request to two custodians. One got back to us in one hours while it took NBIN four days - even though I gave them the all the information citing the tax act."/>
    <s v="trading   The relation manager"/>
    <s v="Respond to communication. Response to our email in time and pick up phone when we call.   Be less beaurocratic - i.e. solve problems quicker.   Take ownership of technology gaps"/>
  </r>
  <r>
    <n v="1369"/>
    <s v="Yes, respondent consents"/>
    <s v="PM"/>
    <s v="Principal/Executive"/>
    <s v="PM West"/>
    <s v="West"/>
    <s v="Michele Hansson"/>
    <s v="Michele Hansson"/>
    <x v="3"/>
    <s v="English"/>
    <s v="1 - Extremely dissatisfied"/>
    <m/>
    <m/>
    <s v="7"/>
    <m/>
    <s v="A better experience with NBIN"/>
    <s v="More comprehensive online systems. Able to process more transactions through NBIN than other custodians. By transactions, I don't mean trading I mean client service transactions."/>
    <s v="8"/>
    <m/>
    <s v="5"/>
    <s v="Extreme delays in responsiveness. Taking too long to follow up with the delivering institution and in particular RDSP transfers. Unable to find any information on Compass on whether to follow up. Email responses are very slow. Having to follow up on my end with the delivering institution."/>
    <s v="5"/>
    <s v="Extreme delays in response. The new chain of command is not effective. Having lost a direct account manager has been a real issue. Escalation managers have not been responsive in a timely manner."/>
    <s v="8"/>
    <m/>
    <x v="5"/>
    <s v="Over the last year the reorganization on the client services, removing direct account managers and setting up the new system has not been effective. It has created extreme delays and very poor response times. No ability to escalate directly with an individual."/>
    <s v="Technology.   Their focus on improving technology."/>
    <s v="Figuring out their issues with client servicing. Whatever new system they're using is not working.   Bringing back firm specific account managers. Having a human point of escalation, like a phone call way."/>
  </r>
  <r>
    <n v="1370"/>
    <s v="No, respondent does not consent"/>
    <s v="PM"/>
    <s v="Principal/Executive"/>
    <s v="PM East"/>
    <s v="East"/>
    <s v="Matthew Pollock"/>
    <s v="M Pollock"/>
    <x v="2"/>
    <s v="English"/>
    <s v="7"/>
    <s v="7"/>
    <m/>
    <s v="7"/>
    <m/>
    <m/>
    <m/>
    <m/>
    <m/>
    <s v="6"/>
    <s v="I think its the different time frames for different files, Responsiveness varies in terms of how long we get responded."/>
    <s v="6"/>
    <s v="Overall service is okay and some tasks take longer than others and sometimes emails get responded to in different timeframe."/>
    <s v="7"/>
    <m/>
    <x v="6"/>
    <s v="NBIN is a one stop shop. They cover allot of basis for you and thats important for a portfolio manager and there isn't allot of competition right now."/>
    <s v="Holistic solution.   I would say my relationship manager is very responsive.   Canadian bank branded."/>
    <s v="Customer service responsiveness.   Technology.   Education events or seminars."/>
  </r>
  <r>
    <n v="1371"/>
    <s v="No, respondent does not consent"/>
    <s v="PM"/>
    <s v="Senior Admin"/>
    <s v="PM Ontario"/>
    <s v="Ont"/>
    <s v="Todd Brennand"/>
    <s v="T Brennand"/>
    <x v="0"/>
    <s v="English"/>
    <s v="7"/>
    <s v="8"/>
    <m/>
    <s v="8"/>
    <m/>
    <s v="A similar experience"/>
    <m/>
    <m/>
    <m/>
    <s v="7"/>
    <m/>
    <s v="8"/>
    <m/>
    <s v="8"/>
    <m/>
    <x v="0"/>
    <s v="Their corespondant network business is a good solution at a reasonable price."/>
    <m/>
    <s v="technology   Direct access to specialists instead of having to go through a service coordinator."/>
  </r>
  <r>
    <n v="1372"/>
    <s v="No, respondent does not consent"/>
    <s v="IB"/>
    <s v="Senior Admin"/>
    <s v="IB Ontario"/>
    <s v="Ont"/>
    <s v="Nick Sarazin"/>
    <s v="Nick Sarazin"/>
    <x v="3"/>
    <s v="English"/>
    <s v="7"/>
    <s v="9"/>
    <m/>
    <s v="7"/>
    <m/>
    <s v="A worse experience with NBIN"/>
    <s v="My experience from other platforms are more easily accessible when needed to be reached. There was more expertise and knowledge when it came to certain issues. They are more client services oriented. Overall, better client service experience."/>
    <s v="4"/>
    <s v="Delayed responses in certain areas. There was a certain review that needed to be done and it took a long time to get a response from the team. There is a lot of back fourth on clarity of documentation. Overall, it took a lot longer than anticipated."/>
    <s v="7"/>
    <m/>
    <s v="5"/>
    <s v="Inability to get in touch with anyone when you need clarity on a comment they have made to an online upload to onboarding. Knowledge when it comes to certain requests which makes them reject applications when it didn't need to be. If they followed up with a call or email prior to rejecting we could open the account quicker. Response times are an issue. It's just really hard to get in touch with someone regarding onboarding especially when accounts need to be opened quickly. Not very client service friendly."/>
    <s v="8"/>
    <m/>
    <x v="7"/>
    <s v="I think there are better options available. Based on my experiences between different clearing brokers. Others are more efficient."/>
    <s v="They have a really good trading department. The people in there are very helpful and knowledgeable.   The New Issue department is very organized and very good to work with."/>
    <s v="Their general service department.   Turnaround times need to be faster and people need to be easily accessible. More training when it comes to certain issues to better service clients.   Account opening department. Onboarding has room for improvement. More training."/>
  </r>
  <r>
    <m/>
    <m/>
    <m/>
    <m/>
    <m/>
    <m/>
    <m/>
    <m/>
    <x v="4"/>
    <m/>
    <m/>
    <m/>
    <m/>
    <m/>
    <m/>
    <m/>
    <m/>
    <m/>
    <m/>
    <m/>
    <m/>
    <m/>
    <m/>
    <m/>
    <m/>
    <x v="1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0F0BE3-5067-4FFA-907F-49F171AD986F}" name="Tableau croisé dynamique2"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E16" firstHeaderRow="1" firstDataRow="3" firstDataCol="1"/>
  <pivotFields count="30">
    <pivotField showAll="0"/>
    <pivotField showAll="0"/>
    <pivotField showAll="0"/>
    <pivotField showAll="0"/>
    <pivotField showAll="0"/>
    <pivotField showAll="0"/>
    <pivotField showAll="0"/>
    <pivotField showAll="0"/>
    <pivotField axis="axisCol"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x="8"/>
        <item x="10"/>
        <item x="5"/>
        <item x="9"/>
        <item x="7"/>
        <item x="3"/>
        <item x="4"/>
        <item x="6"/>
        <item x="2"/>
        <item x="0"/>
        <item h="1" x="1"/>
        <item h="1" x="11"/>
        <item t="default"/>
      </items>
    </pivotField>
    <pivotField showAll="0"/>
    <pivotField showAll="0"/>
    <pivotField showAll="0"/>
    <pivotField axis="axisCol" showAll="0">
      <items count="5">
        <item sd="0" x="1"/>
        <item n="LC +MC" sd="0" x="3"/>
        <item sd="0" x="0"/>
        <item x="2"/>
        <item t="default"/>
      </items>
    </pivotField>
  </pivotFields>
  <rowFields count="1">
    <field x="25"/>
  </rowFields>
  <rowItems count="11">
    <i>
      <x/>
    </i>
    <i>
      <x v="1"/>
    </i>
    <i>
      <x v="2"/>
    </i>
    <i>
      <x v="3"/>
    </i>
    <i>
      <x v="4"/>
    </i>
    <i>
      <x v="5"/>
    </i>
    <i>
      <x v="6"/>
    </i>
    <i>
      <x v="7"/>
    </i>
    <i>
      <x v="8"/>
    </i>
    <i>
      <x v="9"/>
    </i>
    <i t="grand">
      <x/>
    </i>
  </rowItems>
  <colFields count="2">
    <field x="29"/>
    <field x="8"/>
  </colFields>
  <colItems count="4">
    <i>
      <x/>
    </i>
    <i>
      <x v="1"/>
    </i>
    <i>
      <x v="2"/>
    </i>
    <i t="grand">
      <x/>
    </i>
  </colItems>
  <dataFields count="1">
    <dataField name="Nombre de QH2. How likely are you to recommend NBIN to a colleague or other business partner?" fld="25"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F4741B-B67A-4B50-B055-8B6003E68600}" name="PivotTable2"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27:E40" firstHeaderRow="1" firstDataRow="3" firstDataCol="1"/>
  <pivotFields count="30">
    <pivotField showAll="0"/>
    <pivotField showAll="0"/>
    <pivotField showAll="0"/>
    <pivotField showAll="0"/>
    <pivotField showAll="0"/>
    <pivotField showAll="0"/>
    <pivotField showAll="0"/>
    <pivotField showAll="0"/>
    <pivotField axis="axisCol"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x="8"/>
        <item x="10"/>
        <item x="5"/>
        <item x="9"/>
        <item x="7"/>
        <item x="3"/>
        <item x="4"/>
        <item x="6"/>
        <item x="2"/>
        <item x="0"/>
        <item h="1" x="1"/>
        <item h="1" x="11"/>
        <item t="default"/>
      </items>
    </pivotField>
    <pivotField showAll="0"/>
    <pivotField showAll="0"/>
    <pivotField showAll="0"/>
    <pivotField axis="axisCol" showAll="0">
      <items count="5">
        <item sd="0" x="1"/>
        <item n="LC +MC" sd="0" x="3"/>
        <item sd="0" x="0"/>
        <item x="2"/>
        <item t="default"/>
      </items>
    </pivotField>
  </pivotFields>
  <rowFields count="1">
    <field x="25"/>
  </rowFields>
  <rowItems count="11">
    <i>
      <x/>
    </i>
    <i>
      <x v="1"/>
    </i>
    <i>
      <x v="2"/>
    </i>
    <i>
      <x v="3"/>
    </i>
    <i>
      <x v="4"/>
    </i>
    <i>
      <x v="5"/>
    </i>
    <i>
      <x v="6"/>
    </i>
    <i>
      <x v="7"/>
    </i>
    <i>
      <x v="8"/>
    </i>
    <i>
      <x v="9"/>
    </i>
    <i t="grand">
      <x/>
    </i>
  </rowItems>
  <colFields count="2">
    <field x="29"/>
    <field x="8"/>
  </colFields>
  <colItems count="4">
    <i>
      <x/>
    </i>
    <i>
      <x v="1"/>
    </i>
    <i>
      <x v="2"/>
    </i>
    <i t="grand">
      <x/>
    </i>
  </colItems>
  <dataFields count="1">
    <dataField name="Nombre de QH2. How likely are you to recommend NBIN to a colleague or other business partner?"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AF66DD0-AF9D-6D43-A2C7-4F30B1A1848A}">
  <we:reference id="wa200009404" version="1.0.0.8" store="en-US" storeType="OMEX"/>
  <we:alternateReferences>
    <we:reference id="wa200009404" version="1.0.0.8" store="wa200009404" storeType="OMEX"/>
  </we:alternateReferences>
  <we:properties>
    <we:property name="claude.fileId" value="&quot;0bc8ec6d-b445-4e67-b1d4-a0213e00398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DC702CC3-E29F-7047-8CC4-2627647D8FE6}">
  <we:reference id="wa200010725" version="1.0.0.1" store="en-US" storeType="OMEX"/>
  <we:alternateReferences>
    <we:reference id="WA200010725" version="1.0.0.1" store="" storeType="OMEX"/>
  </we:alternateReferences>
  <we:properties>
    <we:property name="claude.fileId" value="&quot;e6d60d52-1b4d-4803-b8a9-d0ed0c63bc6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60C0-08D7-4B32-83B0-85EBF289C506}">
  <dimension ref="A3:E40"/>
  <sheetViews>
    <sheetView topLeftCell="A10" workbookViewId="0">
      <selection activeCell="H28" sqref="H28"/>
    </sheetView>
  </sheetViews>
  <sheetFormatPr defaultColWidth="11.453125" defaultRowHeight="14.5" x14ac:dyDescent="0.35"/>
  <cols>
    <col min="1" max="1" width="85.90625" bestFit="1" customWidth="1"/>
    <col min="2" max="2" width="15.6328125" bestFit="1" customWidth="1"/>
    <col min="3" max="3" width="8.81640625" bestFit="1" customWidth="1"/>
    <col min="4" max="4" width="7" bestFit="1" customWidth="1"/>
    <col min="5" max="5" width="10.7265625" bestFit="1" customWidth="1"/>
    <col min="6" max="6" width="10.26953125" bestFit="1" customWidth="1"/>
    <col min="7" max="8" width="11.7265625" bestFit="1" customWidth="1"/>
    <col min="9" max="9" width="10.26953125" bestFit="1" customWidth="1"/>
    <col min="10" max="11" width="11.7265625" bestFit="1" customWidth="1"/>
  </cols>
  <sheetData>
    <row r="3" spans="1:5" x14ac:dyDescent="0.35">
      <c r="A3" s="9" t="s">
        <v>0</v>
      </c>
      <c r="B3" s="9" t="s">
        <v>1</v>
      </c>
    </row>
    <row r="4" spans="1:5" x14ac:dyDescent="0.35">
      <c r="B4" t="s">
        <v>4</v>
      </c>
      <c r="C4" t="s">
        <v>3</v>
      </c>
      <c r="D4" t="s">
        <v>2</v>
      </c>
      <c r="E4" t="s">
        <v>5</v>
      </c>
    </row>
    <row r="5" spans="1:5" x14ac:dyDescent="0.35">
      <c r="A5" s="9" t="s">
        <v>6</v>
      </c>
    </row>
    <row r="6" spans="1:5" x14ac:dyDescent="0.35">
      <c r="A6" s="10" t="s">
        <v>7</v>
      </c>
      <c r="B6" s="11">
        <v>5.4054054054054057E-2</v>
      </c>
      <c r="C6" s="11">
        <v>5.7971014492753624E-2</v>
      </c>
      <c r="D6" s="11">
        <v>1.1494252873563218E-2</v>
      </c>
      <c r="E6" s="11">
        <v>3.6269430051813469E-2</v>
      </c>
    </row>
    <row r="7" spans="1:5" x14ac:dyDescent="0.35">
      <c r="A7" s="10" t="s">
        <v>8</v>
      </c>
      <c r="B7" s="11">
        <v>2.7027027027027029E-2</v>
      </c>
      <c r="C7" s="11">
        <v>0</v>
      </c>
      <c r="D7" s="11">
        <v>0</v>
      </c>
      <c r="E7" s="11">
        <v>5.1813471502590676E-3</v>
      </c>
    </row>
    <row r="8" spans="1:5" x14ac:dyDescent="0.35">
      <c r="A8" s="10" t="s">
        <v>9</v>
      </c>
      <c r="B8" s="11">
        <v>2.7027027027027029E-2</v>
      </c>
      <c r="C8" s="11">
        <v>5.7971014492753624E-2</v>
      </c>
      <c r="D8" s="11">
        <v>1.1494252873563218E-2</v>
      </c>
      <c r="E8" s="11">
        <v>3.1088082901554404E-2</v>
      </c>
    </row>
    <row r="9" spans="1:5" x14ac:dyDescent="0.35">
      <c r="A9" s="10" t="s">
        <v>10</v>
      </c>
      <c r="B9" s="11">
        <v>0</v>
      </c>
      <c r="C9" s="11">
        <v>1.4492753623188406E-2</v>
      </c>
      <c r="D9" s="11">
        <v>4.5977011494252873E-2</v>
      </c>
      <c r="E9" s="11">
        <v>2.5906735751295335E-2</v>
      </c>
    </row>
    <row r="10" spans="1:5" x14ac:dyDescent="0.35">
      <c r="A10" s="10" t="s">
        <v>11</v>
      </c>
      <c r="B10" s="11">
        <v>8.1081081081081086E-2</v>
      </c>
      <c r="C10" s="11">
        <v>8.6956521739130432E-2</v>
      </c>
      <c r="D10" s="11">
        <v>5.7471264367816091E-2</v>
      </c>
      <c r="E10" s="11">
        <v>7.2538860103626937E-2</v>
      </c>
    </row>
    <row r="11" spans="1:5" x14ac:dyDescent="0.35">
      <c r="A11" s="10" t="s">
        <v>12</v>
      </c>
      <c r="B11" s="11">
        <v>0.13513513513513514</v>
      </c>
      <c r="C11" s="11">
        <v>7.2463768115942032E-2</v>
      </c>
      <c r="D11" s="11">
        <v>3.4482758620689655E-2</v>
      </c>
      <c r="E11" s="11">
        <v>6.7357512953367879E-2</v>
      </c>
    </row>
    <row r="12" spans="1:5" x14ac:dyDescent="0.35">
      <c r="A12" s="10" t="s">
        <v>13</v>
      </c>
      <c r="B12" s="11">
        <v>0.10810810810810811</v>
      </c>
      <c r="C12" s="11">
        <v>0.15942028985507245</v>
      </c>
      <c r="D12" s="11">
        <v>0.26436781609195403</v>
      </c>
      <c r="E12" s="11">
        <v>0.19689119170984457</v>
      </c>
    </row>
    <row r="13" spans="1:5" x14ac:dyDescent="0.35">
      <c r="A13" s="10" t="s">
        <v>14</v>
      </c>
      <c r="B13" s="11">
        <v>0.16216216216216217</v>
      </c>
      <c r="C13" s="11">
        <v>0.20289855072463769</v>
      </c>
      <c r="D13" s="11">
        <v>0.22988505747126436</v>
      </c>
      <c r="E13" s="11">
        <v>0.20725388601036268</v>
      </c>
    </row>
    <row r="14" spans="1:5" x14ac:dyDescent="0.35">
      <c r="A14" s="10" t="s">
        <v>15</v>
      </c>
      <c r="B14" s="11">
        <v>0.1891891891891892</v>
      </c>
      <c r="C14" s="11">
        <v>0.14492753623188406</v>
      </c>
      <c r="D14" s="11">
        <v>0.12643678160919541</v>
      </c>
      <c r="E14" s="11">
        <v>0.14507772020725387</v>
      </c>
    </row>
    <row r="15" spans="1:5" x14ac:dyDescent="0.35">
      <c r="A15" s="10" t="s">
        <v>16</v>
      </c>
      <c r="B15" s="11">
        <v>0.21621621621621623</v>
      </c>
      <c r="C15" s="11">
        <v>0.20289855072463769</v>
      </c>
      <c r="D15" s="11">
        <v>0.21839080459770116</v>
      </c>
      <c r="E15" s="11">
        <v>0.21243523316062177</v>
      </c>
    </row>
    <row r="16" spans="1:5" x14ac:dyDescent="0.35">
      <c r="A16" s="10" t="s">
        <v>5</v>
      </c>
      <c r="B16" s="11">
        <v>1</v>
      </c>
      <c r="C16" s="11">
        <v>1</v>
      </c>
      <c r="D16" s="11">
        <v>1</v>
      </c>
      <c r="E16" s="11">
        <v>1</v>
      </c>
    </row>
    <row r="18" spans="1:5" x14ac:dyDescent="0.35">
      <c r="A18" s="10" t="s">
        <v>17</v>
      </c>
      <c r="B18" s="11">
        <f>SUM(B14:B15)</f>
        <v>0.40540540540540543</v>
      </c>
      <c r="C18" s="11">
        <f t="shared" ref="C18:E18" si="0">SUM(C14:C15)</f>
        <v>0.34782608695652173</v>
      </c>
      <c r="D18" s="11">
        <f t="shared" si="0"/>
        <v>0.34482758620689657</v>
      </c>
      <c r="E18" s="11">
        <f t="shared" si="0"/>
        <v>0.35751295336787564</v>
      </c>
    </row>
    <row r="19" spans="1:5" x14ac:dyDescent="0.35">
      <c r="A19" s="10" t="s">
        <v>18</v>
      </c>
      <c r="B19" s="11">
        <f>SUM(B6:B11)</f>
        <v>0.32432432432432434</v>
      </c>
      <c r="C19" s="11">
        <f t="shared" ref="C19:E19" si="1">SUM(C6:C11)</f>
        <v>0.28985507246376813</v>
      </c>
      <c r="D19" s="11">
        <f t="shared" si="1"/>
        <v>0.16091954022988508</v>
      </c>
      <c r="E19" s="11">
        <f t="shared" si="1"/>
        <v>0.23834196891191711</v>
      </c>
    </row>
    <row r="20" spans="1:5" x14ac:dyDescent="0.35">
      <c r="A20" s="10" t="s">
        <v>19</v>
      </c>
      <c r="B20" s="12">
        <f>B18-B19</f>
        <v>8.1081081081081086E-2</v>
      </c>
      <c r="C20" s="12">
        <f t="shared" ref="C20:E20" si="2">C18-C19</f>
        <v>5.7971014492753603E-2</v>
      </c>
      <c r="D20" s="12">
        <f t="shared" si="2"/>
        <v>0.18390804597701149</v>
      </c>
      <c r="E20" s="12">
        <f t="shared" si="2"/>
        <v>0.11917098445595853</v>
      </c>
    </row>
    <row r="21" spans="1:5" x14ac:dyDescent="0.35">
      <c r="A21" s="14" t="s">
        <v>20</v>
      </c>
      <c r="B21" s="15">
        <v>0.1</v>
      </c>
      <c r="C21" s="15">
        <v>0.3</v>
      </c>
      <c r="D21" s="15">
        <v>0.6</v>
      </c>
    </row>
    <row r="22" spans="1:5" x14ac:dyDescent="0.35">
      <c r="A22" s="10" t="s">
        <v>21</v>
      </c>
      <c r="B22" s="11">
        <f>B20*B21</f>
        <v>8.1081081081081086E-3</v>
      </c>
      <c r="C22" s="11">
        <f t="shared" ref="C22:D22" si="3">C20*C21</f>
        <v>1.739130434782608E-2</v>
      </c>
      <c r="D22" s="11">
        <f t="shared" si="3"/>
        <v>0.1103448275862069</v>
      </c>
      <c r="E22" s="13">
        <f>SUM(B22:D22)</f>
        <v>0.13584424004214107</v>
      </c>
    </row>
    <row r="23" spans="1:5" x14ac:dyDescent="0.35">
      <c r="E23" s="16" t="s">
        <v>22</v>
      </c>
    </row>
    <row r="24" spans="1:5" x14ac:dyDescent="0.35">
      <c r="E24" t="s">
        <v>910</v>
      </c>
    </row>
    <row r="27" spans="1:5" x14ac:dyDescent="0.35">
      <c r="A27" s="9" t="s">
        <v>0</v>
      </c>
      <c r="B27" s="9" t="s">
        <v>911</v>
      </c>
    </row>
    <row r="28" spans="1:5" x14ac:dyDescent="0.35">
      <c r="B28" t="s">
        <v>4</v>
      </c>
      <c r="C28" t="s">
        <v>3</v>
      </c>
      <c r="D28" t="s">
        <v>2</v>
      </c>
      <c r="E28" t="s">
        <v>912</v>
      </c>
    </row>
    <row r="29" spans="1:5" x14ac:dyDescent="0.35">
      <c r="A29" s="9" t="s">
        <v>913</v>
      </c>
    </row>
    <row r="30" spans="1:5" x14ac:dyDescent="0.35">
      <c r="A30" s="10" t="s">
        <v>7</v>
      </c>
      <c r="B30">
        <v>2</v>
      </c>
      <c r="C30">
        <v>4</v>
      </c>
      <c r="D30">
        <v>1</v>
      </c>
      <c r="E30">
        <v>7</v>
      </c>
    </row>
    <row r="31" spans="1:5" x14ac:dyDescent="0.35">
      <c r="A31" s="10" t="s">
        <v>8</v>
      </c>
      <c r="B31">
        <v>1</v>
      </c>
      <c r="E31">
        <v>1</v>
      </c>
    </row>
    <row r="32" spans="1:5" x14ac:dyDescent="0.35">
      <c r="A32" s="10" t="s">
        <v>9</v>
      </c>
      <c r="B32">
        <v>1</v>
      </c>
      <c r="C32">
        <v>4</v>
      </c>
      <c r="D32">
        <v>1</v>
      </c>
      <c r="E32">
        <v>6</v>
      </c>
    </row>
    <row r="33" spans="1:5" x14ac:dyDescent="0.35">
      <c r="A33" s="10" t="s">
        <v>10</v>
      </c>
      <c r="C33">
        <v>1</v>
      </c>
      <c r="D33">
        <v>4</v>
      </c>
      <c r="E33">
        <v>5</v>
      </c>
    </row>
    <row r="34" spans="1:5" x14ac:dyDescent="0.35">
      <c r="A34" s="10" t="s">
        <v>11</v>
      </c>
      <c r="B34">
        <v>3</v>
      </c>
      <c r="C34">
        <v>6</v>
      </c>
      <c r="D34">
        <v>5</v>
      </c>
      <c r="E34">
        <v>14</v>
      </c>
    </row>
    <row r="35" spans="1:5" x14ac:dyDescent="0.35">
      <c r="A35" s="10" t="s">
        <v>12</v>
      </c>
      <c r="B35">
        <v>5</v>
      </c>
      <c r="C35">
        <v>5</v>
      </c>
      <c r="D35">
        <v>3</v>
      </c>
      <c r="E35">
        <v>13</v>
      </c>
    </row>
    <row r="36" spans="1:5" x14ac:dyDescent="0.35">
      <c r="A36" s="10" t="s">
        <v>13</v>
      </c>
      <c r="B36">
        <v>4</v>
      </c>
      <c r="C36">
        <v>11</v>
      </c>
      <c r="D36">
        <v>23</v>
      </c>
      <c r="E36">
        <v>38</v>
      </c>
    </row>
    <row r="37" spans="1:5" x14ac:dyDescent="0.35">
      <c r="A37" s="10" t="s">
        <v>14</v>
      </c>
      <c r="B37">
        <v>6</v>
      </c>
      <c r="C37">
        <v>14</v>
      </c>
      <c r="D37">
        <v>20</v>
      </c>
      <c r="E37">
        <v>40</v>
      </c>
    </row>
    <row r="38" spans="1:5" x14ac:dyDescent="0.35">
      <c r="A38" s="10" t="s">
        <v>15</v>
      </c>
      <c r="B38">
        <v>7</v>
      </c>
      <c r="C38">
        <v>10</v>
      </c>
      <c r="D38">
        <v>11</v>
      </c>
      <c r="E38">
        <v>28</v>
      </c>
    </row>
    <row r="39" spans="1:5" x14ac:dyDescent="0.35">
      <c r="A39" s="10" t="s">
        <v>16</v>
      </c>
      <c r="B39">
        <v>8</v>
      </c>
      <c r="C39">
        <v>14</v>
      </c>
      <c r="D39">
        <v>19</v>
      </c>
      <c r="E39">
        <v>41</v>
      </c>
    </row>
    <row r="40" spans="1:5" x14ac:dyDescent="0.35">
      <c r="A40" s="10" t="s">
        <v>912</v>
      </c>
      <c r="B40">
        <v>37</v>
      </c>
      <c r="C40">
        <v>69</v>
      </c>
      <c r="D40">
        <v>87</v>
      </c>
      <c r="E40">
        <v>193</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195"/>
  <sheetViews>
    <sheetView tabSelected="1" workbookViewId="0">
      <pane ySplit="1" topLeftCell="A176" activePane="bottomLeft" state="frozen"/>
      <selection pane="bottomLeft" activeCell="M29" sqref="M29"/>
    </sheetView>
  </sheetViews>
  <sheetFormatPr defaultColWidth="8.81640625" defaultRowHeight="14.5" x14ac:dyDescent="0.35"/>
  <cols>
    <col min="1" max="1" width="10.81640625" customWidth="1"/>
    <col min="2" max="10" width="21.54296875" customWidth="1"/>
    <col min="11" max="12" width="21.81640625" customWidth="1"/>
    <col min="13" max="13" width="56.54296875" customWidth="1"/>
    <col min="14" max="14" width="23" customWidth="1"/>
    <col min="15" max="15" width="56.54296875" customWidth="1"/>
    <col min="16" max="16" width="22.81640625" customWidth="1"/>
    <col min="17" max="17" width="56.54296875" customWidth="1"/>
    <col min="18" max="18" width="21.81640625" customWidth="1"/>
    <col min="19" max="19" width="56.54296875" customWidth="1"/>
    <col min="20" max="20" width="21.81640625" customWidth="1"/>
    <col min="21" max="21" width="56.54296875" customWidth="1"/>
    <col min="22" max="22" width="21.81640625" customWidth="1"/>
    <col min="23" max="23" width="56.54296875" customWidth="1"/>
    <col min="24" max="24" width="21.81640625" customWidth="1"/>
    <col min="25" max="25" width="56.54296875" customWidth="1"/>
    <col min="26" max="26" width="21.81640625" customWidth="1"/>
    <col min="27" max="29" width="56.54296875" customWidth="1"/>
    <col min="30" max="30" width="36.26953125" customWidth="1"/>
  </cols>
  <sheetData>
    <row r="1" spans="1:29" ht="60" customHeight="1" x14ac:dyDescent="0.35">
      <c r="A1" s="1" t="s">
        <v>23</v>
      </c>
      <c r="B1" s="1" t="s">
        <v>24</v>
      </c>
      <c r="C1" s="1" t="s">
        <v>25</v>
      </c>
      <c r="D1" s="1" t="s">
        <v>26</v>
      </c>
      <c r="E1" s="1" t="s">
        <v>27</v>
      </c>
      <c r="F1" s="1" t="s">
        <v>27</v>
      </c>
      <c r="G1" s="1" t="s">
        <v>28</v>
      </c>
      <c r="H1" s="1" t="s">
        <v>29</v>
      </c>
      <c r="I1" s="1" t="s">
        <v>30</v>
      </c>
      <c r="J1" s="1" t="s">
        <v>31</v>
      </c>
      <c r="K1" s="1" t="s">
        <v>32</v>
      </c>
      <c r="L1" s="1" t="s">
        <v>33</v>
      </c>
      <c r="M1" s="8" t="s">
        <v>34</v>
      </c>
      <c r="N1" s="1" t="s">
        <v>35</v>
      </c>
      <c r="O1" s="8" t="s">
        <v>36</v>
      </c>
      <c r="P1" s="1" t="s">
        <v>37</v>
      </c>
      <c r="Q1" s="8" t="s">
        <v>38</v>
      </c>
      <c r="R1" s="1" t="s">
        <v>39</v>
      </c>
      <c r="S1" s="8" t="s">
        <v>40</v>
      </c>
      <c r="T1" s="1" t="s">
        <v>41</v>
      </c>
      <c r="U1" s="8" t="s">
        <v>42</v>
      </c>
      <c r="V1" s="1" t="s">
        <v>43</v>
      </c>
      <c r="W1" s="8" t="s">
        <v>44</v>
      </c>
      <c r="X1" s="1" t="s">
        <v>45</v>
      </c>
      <c r="Y1" s="8" t="s">
        <v>46</v>
      </c>
      <c r="Z1" s="1" t="s">
        <v>47</v>
      </c>
      <c r="AA1" s="8" t="s">
        <v>48</v>
      </c>
      <c r="AB1" s="8" t="s">
        <v>49</v>
      </c>
      <c r="AC1" s="8" t="s">
        <v>50</v>
      </c>
    </row>
    <row r="2" spans="1:29" ht="39" x14ac:dyDescent="0.35">
      <c r="A2" s="2">
        <v>787</v>
      </c>
      <c r="B2" s="3" t="s">
        <v>51</v>
      </c>
      <c r="C2" s="3" t="s">
        <v>52</v>
      </c>
      <c r="D2" s="3" t="s">
        <v>53</v>
      </c>
      <c r="E2" s="3" t="s">
        <v>54</v>
      </c>
      <c r="F2" s="3" t="s">
        <v>55</v>
      </c>
      <c r="G2" s="3" t="s">
        <v>56</v>
      </c>
      <c r="H2" s="3" t="s">
        <v>56</v>
      </c>
      <c r="I2" s="3" t="s">
        <v>57</v>
      </c>
      <c r="J2" s="3" t="s">
        <v>58</v>
      </c>
      <c r="K2" s="4" t="s">
        <v>59</v>
      </c>
      <c r="L2" s="5"/>
      <c r="M2" s="6"/>
      <c r="N2" s="4" t="s">
        <v>12</v>
      </c>
      <c r="O2" s="6" t="s">
        <v>60</v>
      </c>
      <c r="P2" s="7"/>
      <c r="Q2" s="6"/>
      <c r="R2" s="5"/>
      <c r="S2" s="6"/>
      <c r="T2" s="5"/>
      <c r="U2" s="6"/>
      <c r="V2" s="5"/>
      <c r="W2" s="6"/>
      <c r="X2" s="4" t="s">
        <v>14</v>
      </c>
      <c r="Y2" s="6"/>
      <c r="Z2" s="4" t="s">
        <v>16</v>
      </c>
      <c r="AA2" s="6" t="s">
        <v>61</v>
      </c>
      <c r="AB2" s="6" t="s">
        <v>62</v>
      </c>
      <c r="AC2" s="6" t="s">
        <v>63</v>
      </c>
    </row>
    <row r="3" spans="1:29" ht="65" x14ac:dyDescent="0.35">
      <c r="A3" s="2">
        <v>1282</v>
      </c>
      <c r="B3" s="3" t="s">
        <v>51</v>
      </c>
      <c r="C3" s="3" t="s">
        <v>52</v>
      </c>
      <c r="D3" s="3" t="s">
        <v>53</v>
      </c>
      <c r="E3" s="3" t="s">
        <v>64</v>
      </c>
      <c r="F3" s="3" t="s">
        <v>65</v>
      </c>
      <c r="G3" s="3" t="s">
        <v>66</v>
      </c>
      <c r="H3" s="3" t="s">
        <v>67</v>
      </c>
      <c r="I3" s="3" t="s">
        <v>2</v>
      </c>
      <c r="J3" s="3" t="s">
        <v>58</v>
      </c>
      <c r="K3" s="4" t="s">
        <v>14</v>
      </c>
      <c r="L3" s="5"/>
      <c r="M3" s="6"/>
      <c r="N3" s="4" t="s">
        <v>12</v>
      </c>
      <c r="O3" s="6" t="s">
        <v>68</v>
      </c>
      <c r="P3" s="3" t="s">
        <v>69</v>
      </c>
      <c r="Q3" s="6" t="s">
        <v>70</v>
      </c>
      <c r="R3" s="5"/>
      <c r="S3" s="6"/>
      <c r="T3" s="4" t="s">
        <v>12</v>
      </c>
      <c r="U3" s="6" t="s">
        <v>71</v>
      </c>
      <c r="V3" s="4" t="s">
        <v>14</v>
      </c>
      <c r="W3" s="6"/>
      <c r="X3" s="4" t="s">
        <v>15</v>
      </c>
      <c r="Y3" s="6"/>
      <c r="Z3" s="4" t="s">
        <v>72</v>
      </c>
      <c r="AA3" s="6"/>
      <c r="AB3" s="6" t="s">
        <v>73</v>
      </c>
      <c r="AC3" s="6" t="s">
        <v>74</v>
      </c>
    </row>
    <row r="4" spans="1:29" ht="65" x14ac:dyDescent="0.35">
      <c r="A4" s="2">
        <v>796</v>
      </c>
      <c r="B4" s="3" t="s">
        <v>51</v>
      </c>
      <c r="C4" s="3" t="s">
        <v>75</v>
      </c>
      <c r="D4" s="3" t="s">
        <v>53</v>
      </c>
      <c r="E4" s="3" t="s">
        <v>76</v>
      </c>
      <c r="F4" s="3" t="s">
        <v>77</v>
      </c>
      <c r="G4" s="3" t="s">
        <v>78</v>
      </c>
      <c r="H4" s="3" t="s">
        <v>78</v>
      </c>
      <c r="I4" s="3" t="s">
        <v>2</v>
      </c>
      <c r="J4" s="3" t="s">
        <v>58</v>
      </c>
      <c r="K4" s="4" t="s">
        <v>13</v>
      </c>
      <c r="L4" s="4" t="s">
        <v>13</v>
      </c>
      <c r="M4" s="6"/>
      <c r="N4" s="4" t="s">
        <v>13</v>
      </c>
      <c r="O4" s="6"/>
      <c r="P4" s="3" t="s">
        <v>79</v>
      </c>
      <c r="Q4" s="6"/>
      <c r="R4" s="4" t="s">
        <v>12</v>
      </c>
      <c r="S4" s="6" t="s">
        <v>80</v>
      </c>
      <c r="T4" s="4" t="s">
        <v>13</v>
      </c>
      <c r="U4" s="6"/>
      <c r="V4" s="4" t="s">
        <v>12</v>
      </c>
      <c r="W4" s="6" t="s">
        <v>81</v>
      </c>
      <c r="X4" s="4" t="s">
        <v>12</v>
      </c>
      <c r="Y4" s="6" t="s">
        <v>82</v>
      </c>
      <c r="Z4" s="4" t="s">
        <v>15</v>
      </c>
      <c r="AA4" s="6" t="s">
        <v>83</v>
      </c>
      <c r="AB4" s="6" t="s">
        <v>84</v>
      </c>
      <c r="AC4" s="6" t="s">
        <v>85</v>
      </c>
    </row>
    <row r="5" spans="1:29" ht="26" x14ac:dyDescent="0.35">
      <c r="A5" s="2">
        <v>800</v>
      </c>
      <c r="B5" s="3" t="s">
        <v>51</v>
      </c>
      <c r="C5" s="3" t="s">
        <v>52</v>
      </c>
      <c r="D5" s="3" t="s">
        <v>86</v>
      </c>
      <c r="E5" s="3" t="s">
        <v>87</v>
      </c>
      <c r="F5" s="3" t="s">
        <v>77</v>
      </c>
      <c r="G5" s="3" t="s">
        <v>66</v>
      </c>
      <c r="H5" s="3" t="s">
        <v>67</v>
      </c>
      <c r="I5" s="3" t="s">
        <v>57</v>
      </c>
      <c r="J5" s="3" t="s">
        <v>88</v>
      </c>
      <c r="K5" s="4" t="s">
        <v>59</v>
      </c>
      <c r="L5" s="5"/>
      <c r="M5" s="6"/>
      <c r="N5" s="4" t="s">
        <v>15</v>
      </c>
      <c r="O5" s="6"/>
      <c r="P5" s="7"/>
      <c r="Q5" s="6"/>
      <c r="R5" s="4" t="s">
        <v>15</v>
      </c>
      <c r="S5" s="6"/>
      <c r="T5" s="4" t="s">
        <v>15</v>
      </c>
      <c r="U5" s="6"/>
      <c r="V5" s="5"/>
      <c r="W5" s="6"/>
      <c r="X5" s="4" t="s">
        <v>15</v>
      </c>
      <c r="Y5" s="6"/>
      <c r="Z5" s="4" t="s">
        <v>15</v>
      </c>
      <c r="AA5" s="6" t="s">
        <v>89</v>
      </c>
      <c r="AB5" s="6" t="s">
        <v>90</v>
      </c>
      <c r="AC5" s="6"/>
    </row>
    <row r="6" spans="1:29" ht="39" x14ac:dyDescent="0.35">
      <c r="A6" s="2">
        <v>802</v>
      </c>
      <c r="B6" s="3" t="s">
        <v>51</v>
      </c>
      <c r="C6" s="3" t="s">
        <v>52</v>
      </c>
      <c r="D6" s="3" t="s">
        <v>53</v>
      </c>
      <c r="E6" s="3" t="s">
        <v>64</v>
      </c>
      <c r="F6" s="3" t="s">
        <v>65</v>
      </c>
      <c r="G6" s="3" t="s">
        <v>66</v>
      </c>
      <c r="H6" s="3" t="s">
        <v>67</v>
      </c>
      <c r="I6" s="3" t="s">
        <v>4</v>
      </c>
      <c r="J6" s="3" t="s">
        <v>58</v>
      </c>
      <c r="K6" s="4" t="s">
        <v>12</v>
      </c>
      <c r="L6" s="5"/>
      <c r="M6" s="6"/>
      <c r="N6" s="4" t="s">
        <v>9</v>
      </c>
      <c r="O6" s="6" t="s">
        <v>91</v>
      </c>
      <c r="P6" s="7"/>
      <c r="Q6" s="6"/>
      <c r="R6" s="4" t="s">
        <v>14</v>
      </c>
      <c r="S6" s="6"/>
      <c r="T6" s="4" t="s">
        <v>13</v>
      </c>
      <c r="U6" s="6"/>
      <c r="V6" s="5"/>
      <c r="W6" s="6"/>
      <c r="X6" s="4" t="s">
        <v>11</v>
      </c>
      <c r="Y6" s="6" t="s">
        <v>92</v>
      </c>
      <c r="Z6" s="4" t="s">
        <v>12</v>
      </c>
      <c r="AA6" s="6" t="s">
        <v>93</v>
      </c>
      <c r="AB6" s="6" t="s">
        <v>94</v>
      </c>
      <c r="AC6" s="6" t="s">
        <v>95</v>
      </c>
    </row>
    <row r="7" spans="1:29" ht="39" x14ac:dyDescent="0.35">
      <c r="A7" s="2">
        <v>803</v>
      </c>
      <c r="B7" s="3" t="s">
        <v>51</v>
      </c>
      <c r="C7" s="3" t="s">
        <v>75</v>
      </c>
      <c r="D7" s="3" t="s">
        <v>86</v>
      </c>
      <c r="E7" s="3" t="s">
        <v>96</v>
      </c>
      <c r="F7" s="3" t="s">
        <v>97</v>
      </c>
      <c r="G7" s="3" t="s">
        <v>56</v>
      </c>
      <c r="H7" s="3" t="s">
        <v>56</v>
      </c>
      <c r="I7" s="3" t="s">
        <v>57</v>
      </c>
      <c r="J7" s="3" t="s">
        <v>58</v>
      </c>
      <c r="K7" s="4" t="s">
        <v>12</v>
      </c>
      <c r="L7" s="4" t="s">
        <v>14</v>
      </c>
      <c r="M7" s="6"/>
      <c r="N7" s="5"/>
      <c r="O7" s="6"/>
      <c r="P7" s="7"/>
      <c r="Q7" s="6"/>
      <c r="R7" s="5"/>
      <c r="S7" s="6"/>
      <c r="T7" s="4" t="s">
        <v>12</v>
      </c>
      <c r="U7" s="6" t="s">
        <v>98</v>
      </c>
      <c r="V7" s="4" t="s">
        <v>12</v>
      </c>
      <c r="W7" s="6" t="s">
        <v>99</v>
      </c>
      <c r="X7" s="4" t="s">
        <v>13</v>
      </c>
      <c r="Y7" s="6"/>
      <c r="Z7" s="4" t="s">
        <v>13</v>
      </c>
      <c r="AA7" s="6" t="s">
        <v>100</v>
      </c>
      <c r="AB7" s="6" t="s">
        <v>101</v>
      </c>
      <c r="AC7" s="6" t="s">
        <v>102</v>
      </c>
    </row>
    <row r="8" spans="1:29" ht="26" x14ac:dyDescent="0.35">
      <c r="A8" s="2">
        <v>807</v>
      </c>
      <c r="B8" s="3" t="s">
        <v>51</v>
      </c>
      <c r="C8" s="3" t="s">
        <v>52</v>
      </c>
      <c r="D8" s="3" t="s">
        <v>86</v>
      </c>
      <c r="E8" s="3" t="s">
        <v>87</v>
      </c>
      <c r="F8" s="3" t="s">
        <v>77</v>
      </c>
      <c r="G8" s="3" t="s">
        <v>103</v>
      </c>
      <c r="H8" s="3" t="s">
        <v>104</v>
      </c>
      <c r="I8" s="3" t="s">
        <v>57</v>
      </c>
      <c r="J8" s="3" t="s">
        <v>88</v>
      </c>
      <c r="K8" s="4" t="s">
        <v>13</v>
      </c>
      <c r="L8" s="5"/>
      <c r="M8" s="6"/>
      <c r="N8" s="5"/>
      <c r="O8" s="6"/>
      <c r="P8" s="7"/>
      <c r="Q8" s="6"/>
      <c r="R8" s="5"/>
      <c r="S8" s="6"/>
      <c r="T8" s="5"/>
      <c r="U8" s="6"/>
      <c r="V8" s="5"/>
      <c r="W8" s="6"/>
      <c r="X8" s="4" t="s">
        <v>72</v>
      </c>
      <c r="Y8" s="6"/>
      <c r="Z8" s="4" t="s">
        <v>12</v>
      </c>
      <c r="AA8" s="6" t="s">
        <v>105</v>
      </c>
      <c r="AB8" s="6" t="s">
        <v>106</v>
      </c>
      <c r="AC8" s="6" t="s">
        <v>107</v>
      </c>
    </row>
    <row r="9" spans="1:29" ht="52" hidden="1" x14ac:dyDescent="0.35">
      <c r="A9" s="2">
        <v>809</v>
      </c>
      <c r="B9" s="3" t="s">
        <v>108</v>
      </c>
      <c r="C9" s="3" t="s">
        <v>52</v>
      </c>
      <c r="D9" s="3" t="s">
        <v>53</v>
      </c>
      <c r="E9" s="3" t="s">
        <v>54</v>
      </c>
      <c r="F9" s="3" t="s">
        <v>55</v>
      </c>
      <c r="G9" s="3" t="s">
        <v>56</v>
      </c>
      <c r="H9" s="3" t="s">
        <v>56</v>
      </c>
      <c r="I9" s="3" t="s">
        <v>2</v>
      </c>
      <c r="J9" s="3" t="s">
        <v>58</v>
      </c>
      <c r="K9" s="4" t="s">
        <v>12</v>
      </c>
      <c r="L9" s="5"/>
      <c r="M9" s="6"/>
      <c r="N9" s="4" t="s">
        <v>13</v>
      </c>
      <c r="O9" s="6"/>
      <c r="P9" s="3" t="s">
        <v>109</v>
      </c>
      <c r="Q9" s="6" t="s">
        <v>110</v>
      </c>
      <c r="R9" s="5"/>
      <c r="S9" s="6"/>
      <c r="T9" s="4" t="s">
        <v>13</v>
      </c>
      <c r="U9" s="6"/>
      <c r="V9" s="4" t="s">
        <v>12</v>
      </c>
      <c r="W9" s="6" t="s">
        <v>111</v>
      </c>
      <c r="X9" s="4" t="s">
        <v>13</v>
      </c>
      <c r="Y9" s="6"/>
      <c r="Z9" s="4" t="s">
        <v>15</v>
      </c>
      <c r="AA9" s="6" t="s">
        <v>112</v>
      </c>
      <c r="AB9" s="6" t="s">
        <v>113</v>
      </c>
      <c r="AC9" s="6" t="s">
        <v>114</v>
      </c>
    </row>
    <row r="10" spans="1:29" ht="26" hidden="1" x14ac:dyDescent="0.35">
      <c r="A10" s="2">
        <v>889</v>
      </c>
      <c r="B10" s="3" t="s">
        <v>108</v>
      </c>
      <c r="C10" s="3" t="s">
        <v>52</v>
      </c>
      <c r="D10" s="3" t="s">
        <v>86</v>
      </c>
      <c r="E10" s="3" t="s">
        <v>64</v>
      </c>
      <c r="F10" s="3" t="s">
        <v>65</v>
      </c>
      <c r="G10" s="3" t="s">
        <v>115</v>
      </c>
      <c r="H10" s="3" t="s">
        <v>115</v>
      </c>
      <c r="I10" s="3" t="s">
        <v>2</v>
      </c>
      <c r="J10" s="3" t="s">
        <v>58</v>
      </c>
      <c r="K10" s="4" t="s">
        <v>15</v>
      </c>
      <c r="L10" s="5"/>
      <c r="M10" s="6"/>
      <c r="N10" s="5"/>
      <c r="O10" s="6"/>
      <c r="P10" s="7"/>
      <c r="Q10" s="6"/>
      <c r="R10" s="5"/>
      <c r="S10" s="6"/>
      <c r="T10" s="5"/>
      <c r="U10" s="6"/>
      <c r="V10" s="5"/>
      <c r="W10" s="6"/>
      <c r="X10" s="4" t="s">
        <v>15</v>
      </c>
      <c r="Y10" s="6"/>
      <c r="Z10" s="4" t="s">
        <v>15</v>
      </c>
      <c r="AA10" s="6" t="s">
        <v>116</v>
      </c>
      <c r="AB10" s="6" t="s">
        <v>117</v>
      </c>
      <c r="AC10" s="6" t="s">
        <v>118</v>
      </c>
    </row>
    <row r="11" spans="1:29" ht="26" hidden="1" x14ac:dyDescent="0.35">
      <c r="A11" s="2">
        <v>904</v>
      </c>
      <c r="B11" s="3" t="s">
        <v>108</v>
      </c>
      <c r="C11" s="3" t="s">
        <v>52</v>
      </c>
      <c r="D11" s="3" t="s">
        <v>86</v>
      </c>
      <c r="E11" s="3" t="s">
        <v>54</v>
      </c>
      <c r="F11" s="3" t="s">
        <v>55</v>
      </c>
      <c r="G11" s="3" t="s">
        <v>56</v>
      </c>
      <c r="H11" s="3" t="s">
        <v>56</v>
      </c>
      <c r="I11" s="3" t="s">
        <v>2</v>
      </c>
      <c r="J11" s="3" t="s">
        <v>58</v>
      </c>
      <c r="K11" s="4" t="s">
        <v>12</v>
      </c>
      <c r="L11" s="5"/>
      <c r="M11" s="6"/>
      <c r="N11" s="4" t="s">
        <v>15</v>
      </c>
      <c r="O11" s="6"/>
      <c r="P11" s="7"/>
      <c r="Q11" s="6"/>
      <c r="R11" s="4" t="s">
        <v>12</v>
      </c>
      <c r="S11" s="6" t="s">
        <v>119</v>
      </c>
      <c r="T11" s="5"/>
      <c r="U11" s="6"/>
      <c r="V11" s="5"/>
      <c r="W11" s="6"/>
      <c r="X11" s="4" t="s">
        <v>14</v>
      </c>
      <c r="Y11" s="6"/>
      <c r="Z11" s="4" t="s">
        <v>15</v>
      </c>
      <c r="AA11" s="6" t="s">
        <v>120</v>
      </c>
      <c r="AB11" s="6" t="s">
        <v>121</v>
      </c>
      <c r="AC11" s="6" t="s">
        <v>122</v>
      </c>
    </row>
    <row r="12" spans="1:29" x14ac:dyDescent="0.35">
      <c r="A12" s="2">
        <v>1010</v>
      </c>
      <c r="B12" s="3" t="s">
        <v>51</v>
      </c>
      <c r="C12" s="3" t="s">
        <v>52</v>
      </c>
      <c r="D12" s="3" t="s">
        <v>86</v>
      </c>
      <c r="E12" s="3" t="s">
        <v>64</v>
      </c>
      <c r="F12" s="3" t="s">
        <v>65</v>
      </c>
      <c r="G12" s="3" t="s">
        <v>115</v>
      </c>
      <c r="H12" s="3" t="s">
        <v>115</v>
      </c>
      <c r="I12" s="3" t="s">
        <v>2</v>
      </c>
      <c r="J12" s="3" t="s">
        <v>58</v>
      </c>
      <c r="K12" s="4" t="s">
        <v>15</v>
      </c>
      <c r="L12" s="5"/>
      <c r="M12" s="6"/>
      <c r="N12" s="4" t="s">
        <v>15</v>
      </c>
      <c r="O12" s="6"/>
      <c r="P12" s="3" t="s">
        <v>109</v>
      </c>
      <c r="Q12" s="6" t="s">
        <v>123</v>
      </c>
      <c r="R12" s="5"/>
      <c r="S12" s="6"/>
      <c r="T12" s="5"/>
      <c r="U12" s="6"/>
      <c r="V12" s="5"/>
      <c r="W12" s="6"/>
      <c r="X12" s="4" t="s">
        <v>13</v>
      </c>
      <c r="Y12" s="6"/>
      <c r="Z12" s="4" t="s">
        <v>15</v>
      </c>
      <c r="AA12" s="6" t="s">
        <v>124</v>
      </c>
      <c r="AB12" s="6" t="s">
        <v>125</v>
      </c>
      <c r="AC12" s="6" t="s">
        <v>126</v>
      </c>
    </row>
    <row r="13" spans="1:29" ht="52" hidden="1" x14ac:dyDescent="0.35">
      <c r="A13" s="2">
        <v>819</v>
      </c>
      <c r="B13" s="3" t="s">
        <v>108</v>
      </c>
      <c r="C13" s="3" t="s">
        <v>52</v>
      </c>
      <c r="D13" s="3" t="s">
        <v>86</v>
      </c>
      <c r="E13" s="3" t="s">
        <v>64</v>
      </c>
      <c r="F13" s="3" t="s">
        <v>65</v>
      </c>
      <c r="G13" s="3" t="s">
        <v>115</v>
      </c>
      <c r="H13" s="3" t="s">
        <v>115</v>
      </c>
      <c r="I13" s="3" t="s">
        <v>127</v>
      </c>
      <c r="J13" s="3" t="s">
        <v>58</v>
      </c>
      <c r="K13" s="4" t="s">
        <v>128</v>
      </c>
      <c r="L13" s="5"/>
      <c r="M13" s="6"/>
      <c r="N13" s="4" t="s">
        <v>13</v>
      </c>
      <c r="O13" s="6"/>
      <c r="P13" s="3" t="s">
        <v>69</v>
      </c>
      <c r="Q13" s="6" t="s">
        <v>129</v>
      </c>
      <c r="R13" s="4" t="s">
        <v>128</v>
      </c>
      <c r="S13" s="6" t="s">
        <v>130</v>
      </c>
      <c r="T13" s="4" t="s">
        <v>8</v>
      </c>
      <c r="U13" s="6" t="s">
        <v>131</v>
      </c>
      <c r="V13" s="4" t="s">
        <v>9</v>
      </c>
      <c r="W13" s="6" t="s">
        <v>132</v>
      </c>
      <c r="X13" s="4" t="s">
        <v>13</v>
      </c>
      <c r="Y13" s="6"/>
      <c r="Z13" s="4" t="s">
        <v>9</v>
      </c>
      <c r="AA13" s="6" t="s">
        <v>133</v>
      </c>
      <c r="AB13" s="6" t="s">
        <v>134</v>
      </c>
      <c r="AC13" s="6" t="s">
        <v>135</v>
      </c>
    </row>
    <row r="14" spans="1:29" ht="78" x14ac:dyDescent="0.35">
      <c r="A14" s="2">
        <v>822</v>
      </c>
      <c r="B14" s="3" t="s">
        <v>51</v>
      </c>
      <c r="C14" s="3" t="s">
        <v>52</v>
      </c>
      <c r="D14" s="3" t="s">
        <v>53</v>
      </c>
      <c r="E14" s="3" t="s">
        <v>87</v>
      </c>
      <c r="F14" s="3" t="s">
        <v>77</v>
      </c>
      <c r="G14" s="3" t="s">
        <v>103</v>
      </c>
      <c r="H14" s="3" t="s">
        <v>104</v>
      </c>
      <c r="I14" s="3" t="s">
        <v>57</v>
      </c>
      <c r="J14" s="3" t="s">
        <v>58</v>
      </c>
      <c r="K14" s="4" t="s">
        <v>13</v>
      </c>
      <c r="L14" s="5"/>
      <c r="M14" s="6"/>
      <c r="N14" s="4" t="s">
        <v>14</v>
      </c>
      <c r="O14" s="6"/>
      <c r="P14" s="7"/>
      <c r="Q14" s="6"/>
      <c r="R14" s="4" t="s">
        <v>14</v>
      </c>
      <c r="S14" s="6"/>
      <c r="T14" s="4" t="s">
        <v>12</v>
      </c>
      <c r="U14" s="6" t="s">
        <v>136</v>
      </c>
      <c r="V14" s="4" t="s">
        <v>13</v>
      </c>
      <c r="W14" s="6"/>
      <c r="X14" s="4" t="s">
        <v>15</v>
      </c>
      <c r="Y14" s="6"/>
      <c r="Z14" s="4" t="s">
        <v>13</v>
      </c>
      <c r="AA14" s="6" t="s">
        <v>137</v>
      </c>
      <c r="AB14" s="6" t="s">
        <v>138</v>
      </c>
      <c r="AC14" s="6" t="s">
        <v>139</v>
      </c>
    </row>
    <row r="15" spans="1:29" ht="26" hidden="1" x14ac:dyDescent="0.35">
      <c r="A15" s="2">
        <v>1018</v>
      </c>
      <c r="B15" s="3" t="s">
        <v>108</v>
      </c>
      <c r="C15" s="3" t="s">
        <v>75</v>
      </c>
      <c r="D15" s="3" t="s">
        <v>86</v>
      </c>
      <c r="E15" s="3" t="s">
        <v>76</v>
      </c>
      <c r="F15" s="3" t="s">
        <v>77</v>
      </c>
      <c r="G15" s="3" t="s">
        <v>78</v>
      </c>
      <c r="H15" s="3" t="s">
        <v>78</v>
      </c>
      <c r="I15" s="3" t="s">
        <v>2</v>
      </c>
      <c r="J15" s="3" t="s">
        <v>58</v>
      </c>
      <c r="K15" s="4" t="s">
        <v>14</v>
      </c>
      <c r="L15" s="4" t="s">
        <v>15</v>
      </c>
      <c r="M15" s="6"/>
      <c r="N15" s="4" t="s">
        <v>13</v>
      </c>
      <c r="O15" s="6"/>
      <c r="P15" s="7"/>
      <c r="Q15" s="6"/>
      <c r="R15" s="5"/>
      <c r="S15" s="6"/>
      <c r="T15" s="4" t="s">
        <v>15</v>
      </c>
      <c r="U15" s="6"/>
      <c r="V15" s="4" t="s">
        <v>15</v>
      </c>
      <c r="W15" s="6"/>
      <c r="X15" s="4" t="s">
        <v>72</v>
      </c>
      <c r="Y15" s="6"/>
      <c r="Z15" s="4" t="s">
        <v>15</v>
      </c>
      <c r="AA15" s="6" t="s">
        <v>140</v>
      </c>
      <c r="AB15" s="6" t="s">
        <v>141</v>
      </c>
      <c r="AC15" s="6" t="s">
        <v>142</v>
      </c>
    </row>
    <row r="16" spans="1:29" ht="65" hidden="1" x14ac:dyDescent="0.35">
      <c r="A16" s="2">
        <v>1031</v>
      </c>
      <c r="B16" s="3" t="s">
        <v>108</v>
      </c>
      <c r="C16" s="3" t="s">
        <v>52</v>
      </c>
      <c r="D16" s="3" t="s">
        <v>53</v>
      </c>
      <c r="E16" s="3" t="s">
        <v>87</v>
      </c>
      <c r="F16" s="3" t="s">
        <v>77</v>
      </c>
      <c r="G16" s="3" t="s">
        <v>103</v>
      </c>
      <c r="H16" s="3" t="s">
        <v>104</v>
      </c>
      <c r="I16" s="3" t="s">
        <v>2</v>
      </c>
      <c r="J16" s="3" t="s">
        <v>58</v>
      </c>
      <c r="K16" s="4" t="s">
        <v>13</v>
      </c>
      <c r="L16" s="4" t="s">
        <v>14</v>
      </c>
      <c r="M16" s="6"/>
      <c r="N16" s="4" t="s">
        <v>13</v>
      </c>
      <c r="O16" s="6"/>
      <c r="P16" s="3" t="s">
        <v>109</v>
      </c>
      <c r="Q16" s="6" t="s">
        <v>143</v>
      </c>
      <c r="R16" s="4" t="s">
        <v>12</v>
      </c>
      <c r="S16" s="6" t="s">
        <v>144</v>
      </c>
      <c r="T16" s="4" t="s">
        <v>13</v>
      </c>
      <c r="U16" s="6"/>
      <c r="V16" s="4" t="s">
        <v>13</v>
      </c>
      <c r="W16" s="6"/>
      <c r="X16" s="4" t="s">
        <v>14</v>
      </c>
      <c r="Y16" s="6"/>
      <c r="Z16" s="4" t="s">
        <v>15</v>
      </c>
      <c r="AA16" s="6" t="s">
        <v>145</v>
      </c>
      <c r="AB16" s="6" t="s">
        <v>146</v>
      </c>
      <c r="AC16" s="6" t="s">
        <v>147</v>
      </c>
    </row>
    <row r="17" spans="1:29" ht="78" hidden="1" x14ac:dyDescent="0.35">
      <c r="A17" s="2">
        <v>831</v>
      </c>
      <c r="B17" s="3" t="s">
        <v>108</v>
      </c>
      <c r="C17" s="3" t="s">
        <v>52</v>
      </c>
      <c r="D17" s="3" t="s">
        <v>86</v>
      </c>
      <c r="E17" s="3" t="s">
        <v>87</v>
      </c>
      <c r="F17" s="3" t="s">
        <v>77</v>
      </c>
      <c r="G17" s="3" t="s">
        <v>103</v>
      </c>
      <c r="H17" s="3" t="s">
        <v>104</v>
      </c>
      <c r="I17" s="3" t="s">
        <v>57</v>
      </c>
      <c r="J17" s="3" t="s">
        <v>58</v>
      </c>
      <c r="K17" s="4" t="s">
        <v>14</v>
      </c>
      <c r="L17" s="4" t="s">
        <v>13</v>
      </c>
      <c r="M17" s="6"/>
      <c r="N17" s="4" t="s">
        <v>13</v>
      </c>
      <c r="O17" s="6"/>
      <c r="P17" s="3" t="s">
        <v>79</v>
      </c>
      <c r="Q17" s="6"/>
      <c r="R17" s="5"/>
      <c r="S17" s="6"/>
      <c r="T17" s="5"/>
      <c r="U17" s="6"/>
      <c r="V17" s="5"/>
      <c r="W17" s="6"/>
      <c r="X17" s="4" t="s">
        <v>14</v>
      </c>
      <c r="Y17" s="6"/>
      <c r="Z17" s="4" t="s">
        <v>14</v>
      </c>
      <c r="AA17" s="6" t="s">
        <v>148</v>
      </c>
      <c r="AB17" s="6" t="s">
        <v>149</v>
      </c>
      <c r="AC17" s="6" t="s">
        <v>150</v>
      </c>
    </row>
    <row r="18" spans="1:29" ht="26" x14ac:dyDescent="0.35">
      <c r="A18" s="2">
        <v>1077</v>
      </c>
      <c r="B18" s="3" t="s">
        <v>51</v>
      </c>
      <c r="C18" s="3" t="s">
        <v>52</v>
      </c>
      <c r="D18" s="3" t="s">
        <v>86</v>
      </c>
      <c r="E18" s="3" t="s">
        <v>64</v>
      </c>
      <c r="F18" s="3" t="s">
        <v>65</v>
      </c>
      <c r="G18" s="3" t="s">
        <v>66</v>
      </c>
      <c r="H18" s="3" t="s">
        <v>67</v>
      </c>
      <c r="I18" s="3" t="s">
        <v>2</v>
      </c>
      <c r="J18" s="3" t="s">
        <v>58</v>
      </c>
      <c r="K18" s="4" t="s">
        <v>14</v>
      </c>
      <c r="L18" s="4" t="s">
        <v>14</v>
      </c>
      <c r="M18" s="6"/>
      <c r="N18" s="4" t="s">
        <v>13</v>
      </c>
      <c r="O18" s="6"/>
      <c r="P18" s="7"/>
      <c r="Q18" s="6"/>
      <c r="R18" s="4" t="s">
        <v>13</v>
      </c>
      <c r="S18" s="6"/>
      <c r="T18" s="4" t="s">
        <v>12</v>
      </c>
      <c r="U18" s="6" t="s">
        <v>151</v>
      </c>
      <c r="V18" s="4" t="s">
        <v>14</v>
      </c>
      <c r="W18" s="6"/>
      <c r="X18" s="4" t="s">
        <v>14</v>
      </c>
      <c r="Y18" s="6"/>
      <c r="Z18" s="4" t="s">
        <v>15</v>
      </c>
      <c r="AA18" s="6" t="s">
        <v>152</v>
      </c>
      <c r="AB18" s="6" t="s">
        <v>153</v>
      </c>
      <c r="AC18" s="6" t="s">
        <v>154</v>
      </c>
    </row>
    <row r="19" spans="1:29" ht="65" hidden="1" x14ac:dyDescent="0.35">
      <c r="A19" s="2">
        <v>1132</v>
      </c>
      <c r="B19" s="3" t="s">
        <v>108</v>
      </c>
      <c r="C19" s="3" t="s">
        <v>52</v>
      </c>
      <c r="D19" s="3" t="s">
        <v>53</v>
      </c>
      <c r="E19" s="3" t="s">
        <v>64</v>
      </c>
      <c r="F19" s="3" t="s">
        <v>65</v>
      </c>
      <c r="G19" s="3" t="s">
        <v>115</v>
      </c>
      <c r="H19" s="3" t="s">
        <v>115</v>
      </c>
      <c r="I19" s="3" t="s">
        <v>2</v>
      </c>
      <c r="J19" s="3" t="s">
        <v>58</v>
      </c>
      <c r="K19" s="4" t="s">
        <v>13</v>
      </c>
      <c r="L19" s="5"/>
      <c r="M19" s="6"/>
      <c r="N19" s="4" t="s">
        <v>13</v>
      </c>
      <c r="O19" s="6"/>
      <c r="P19" s="7"/>
      <c r="Q19" s="6"/>
      <c r="R19" s="5"/>
      <c r="S19" s="6"/>
      <c r="T19" s="4" t="s">
        <v>15</v>
      </c>
      <c r="U19" s="6"/>
      <c r="V19" s="4" t="s">
        <v>15</v>
      </c>
      <c r="W19" s="6"/>
      <c r="X19" s="4" t="s">
        <v>72</v>
      </c>
      <c r="Y19" s="6"/>
      <c r="Z19" s="4" t="s">
        <v>15</v>
      </c>
      <c r="AA19" s="6" t="s">
        <v>155</v>
      </c>
      <c r="AB19" s="6" t="s">
        <v>156</v>
      </c>
      <c r="AC19" s="6" t="s">
        <v>157</v>
      </c>
    </row>
    <row r="20" spans="1:29" ht="52" x14ac:dyDescent="0.35">
      <c r="A20" s="2">
        <v>1184</v>
      </c>
      <c r="B20" s="3" t="s">
        <v>51</v>
      </c>
      <c r="C20" s="3" t="s">
        <v>75</v>
      </c>
      <c r="D20" s="3" t="s">
        <v>86</v>
      </c>
      <c r="E20" s="3" t="s">
        <v>76</v>
      </c>
      <c r="F20" s="3" t="s">
        <v>77</v>
      </c>
      <c r="G20" s="3" t="s">
        <v>78</v>
      </c>
      <c r="H20" s="3" t="s">
        <v>78</v>
      </c>
      <c r="I20" s="3" t="s">
        <v>2</v>
      </c>
      <c r="J20" s="3" t="s">
        <v>58</v>
      </c>
      <c r="K20" s="4" t="s">
        <v>13</v>
      </c>
      <c r="L20" s="5"/>
      <c r="M20" s="6"/>
      <c r="N20" s="4" t="s">
        <v>12</v>
      </c>
      <c r="O20" s="6" t="s">
        <v>158</v>
      </c>
      <c r="P20" s="3" t="s">
        <v>69</v>
      </c>
      <c r="Q20" s="6" t="s">
        <v>159</v>
      </c>
      <c r="R20" s="5"/>
      <c r="S20" s="6"/>
      <c r="T20" s="4" t="s">
        <v>10</v>
      </c>
      <c r="U20" s="6" t="s">
        <v>160</v>
      </c>
      <c r="V20" s="4" t="s">
        <v>14</v>
      </c>
      <c r="W20" s="6"/>
      <c r="X20" s="4" t="s">
        <v>72</v>
      </c>
      <c r="Y20" s="6"/>
      <c r="Z20" s="4" t="s">
        <v>15</v>
      </c>
      <c r="AA20" s="6" t="s">
        <v>161</v>
      </c>
      <c r="AB20" s="6" t="s">
        <v>162</v>
      </c>
      <c r="AC20" s="6" t="s">
        <v>163</v>
      </c>
    </row>
    <row r="21" spans="1:29" ht="52" hidden="1" x14ac:dyDescent="0.35">
      <c r="A21" s="2">
        <v>842</v>
      </c>
      <c r="B21" s="3" t="s">
        <v>108</v>
      </c>
      <c r="C21" s="3" t="s">
        <v>52</v>
      </c>
      <c r="D21" s="3" t="s">
        <v>53</v>
      </c>
      <c r="E21" s="3" t="s">
        <v>64</v>
      </c>
      <c r="F21" s="3" t="s">
        <v>65</v>
      </c>
      <c r="G21" s="3" t="s">
        <v>115</v>
      </c>
      <c r="H21" s="3" t="s">
        <v>115</v>
      </c>
      <c r="I21" s="3" t="s">
        <v>127</v>
      </c>
      <c r="J21" s="3" t="s">
        <v>58</v>
      </c>
      <c r="K21" s="4" t="s">
        <v>12</v>
      </c>
      <c r="L21" s="4" t="s">
        <v>13</v>
      </c>
      <c r="M21" s="6"/>
      <c r="N21" s="5"/>
      <c r="O21" s="6"/>
      <c r="P21" s="7"/>
      <c r="Q21" s="6"/>
      <c r="R21" s="4" t="s">
        <v>13</v>
      </c>
      <c r="S21" s="6"/>
      <c r="T21" s="4" t="s">
        <v>11</v>
      </c>
      <c r="U21" s="6" t="s">
        <v>164</v>
      </c>
      <c r="V21" s="4" t="s">
        <v>13</v>
      </c>
      <c r="W21" s="6"/>
      <c r="X21" s="4" t="s">
        <v>14</v>
      </c>
      <c r="Y21" s="6"/>
      <c r="Z21" s="4" t="s">
        <v>14</v>
      </c>
      <c r="AA21" s="6" t="s">
        <v>165</v>
      </c>
      <c r="AB21" s="6" t="s">
        <v>166</v>
      </c>
      <c r="AC21" s="6" t="s">
        <v>167</v>
      </c>
    </row>
    <row r="22" spans="1:29" ht="39" hidden="1" x14ac:dyDescent="0.35">
      <c r="A22" s="2">
        <v>848</v>
      </c>
      <c r="B22" s="3" t="s">
        <v>108</v>
      </c>
      <c r="C22" s="3" t="s">
        <v>52</v>
      </c>
      <c r="D22" s="3" t="s">
        <v>53</v>
      </c>
      <c r="E22" s="3" t="s">
        <v>54</v>
      </c>
      <c r="F22" s="3" t="s">
        <v>55</v>
      </c>
      <c r="G22" s="3" t="s">
        <v>56</v>
      </c>
      <c r="H22" s="3" t="s">
        <v>56</v>
      </c>
      <c r="I22" s="3" t="s">
        <v>57</v>
      </c>
      <c r="J22" s="3" t="s">
        <v>58</v>
      </c>
      <c r="K22" s="4" t="s">
        <v>13</v>
      </c>
      <c r="L22" s="4" t="s">
        <v>15</v>
      </c>
      <c r="M22" s="6"/>
      <c r="N22" s="4" t="s">
        <v>13</v>
      </c>
      <c r="O22" s="6"/>
      <c r="P22" s="7"/>
      <c r="Q22" s="6"/>
      <c r="R22" s="4" t="s">
        <v>13</v>
      </c>
      <c r="S22" s="6"/>
      <c r="T22" s="4" t="s">
        <v>11</v>
      </c>
      <c r="U22" s="6" t="s">
        <v>168</v>
      </c>
      <c r="V22" s="4" t="s">
        <v>13</v>
      </c>
      <c r="W22" s="6"/>
      <c r="X22" s="4" t="s">
        <v>13</v>
      </c>
      <c r="Y22" s="6"/>
      <c r="Z22" s="4" t="s">
        <v>14</v>
      </c>
      <c r="AA22" s="6" t="s">
        <v>169</v>
      </c>
      <c r="AB22" s="6" t="s">
        <v>170</v>
      </c>
      <c r="AC22" s="6" t="s">
        <v>171</v>
      </c>
    </row>
    <row r="23" spans="1:29" ht="39" x14ac:dyDescent="0.35">
      <c r="A23" s="2">
        <v>1256</v>
      </c>
      <c r="B23" s="3" t="s">
        <v>51</v>
      </c>
      <c r="C23" s="3" t="s">
        <v>52</v>
      </c>
      <c r="D23" s="3" t="s">
        <v>53</v>
      </c>
      <c r="E23" s="3" t="s">
        <v>64</v>
      </c>
      <c r="F23" s="3" t="s">
        <v>65</v>
      </c>
      <c r="G23" s="3" t="s">
        <v>66</v>
      </c>
      <c r="H23" s="3" t="s">
        <v>67</v>
      </c>
      <c r="I23" s="3" t="s">
        <v>2</v>
      </c>
      <c r="J23" s="3" t="s">
        <v>58</v>
      </c>
      <c r="K23" s="4" t="s">
        <v>13</v>
      </c>
      <c r="L23" s="5"/>
      <c r="M23" s="6"/>
      <c r="N23" s="4" t="s">
        <v>14</v>
      </c>
      <c r="O23" s="6"/>
      <c r="P23" s="3" t="s">
        <v>172</v>
      </c>
      <c r="Q23" s="6" t="s">
        <v>173</v>
      </c>
      <c r="R23" s="5"/>
      <c r="S23" s="6"/>
      <c r="T23" s="5"/>
      <c r="U23" s="6"/>
      <c r="V23" s="4" t="s">
        <v>15</v>
      </c>
      <c r="W23" s="6"/>
      <c r="X23" s="4" t="s">
        <v>72</v>
      </c>
      <c r="Y23" s="6"/>
      <c r="Z23" s="4" t="s">
        <v>15</v>
      </c>
      <c r="AA23" s="6" t="s">
        <v>174</v>
      </c>
      <c r="AB23" s="6" t="s">
        <v>175</v>
      </c>
      <c r="AC23" s="6" t="s">
        <v>176</v>
      </c>
    </row>
    <row r="24" spans="1:29" ht="26" hidden="1" x14ac:dyDescent="0.35">
      <c r="A24" s="2">
        <v>855</v>
      </c>
      <c r="B24" s="3" t="s">
        <v>108</v>
      </c>
      <c r="C24" s="3" t="s">
        <v>52</v>
      </c>
      <c r="D24" s="3" t="s">
        <v>86</v>
      </c>
      <c r="E24" s="3" t="s">
        <v>64</v>
      </c>
      <c r="F24" s="3" t="s">
        <v>65</v>
      </c>
      <c r="G24" s="3" t="s">
        <v>66</v>
      </c>
      <c r="H24" s="3" t="s">
        <v>67</v>
      </c>
      <c r="I24" s="3" t="s">
        <v>57</v>
      </c>
      <c r="J24" s="3" t="s">
        <v>58</v>
      </c>
      <c r="K24" s="4" t="s">
        <v>14</v>
      </c>
      <c r="L24" s="4" t="s">
        <v>11</v>
      </c>
      <c r="M24" s="6" t="s">
        <v>177</v>
      </c>
      <c r="N24" s="5"/>
      <c r="O24" s="6"/>
      <c r="P24" s="7"/>
      <c r="Q24" s="6"/>
      <c r="R24" s="5"/>
      <c r="S24" s="6"/>
      <c r="T24" s="5"/>
      <c r="U24" s="6"/>
      <c r="V24" s="4" t="s">
        <v>13</v>
      </c>
      <c r="W24" s="6"/>
      <c r="X24" s="4" t="s">
        <v>12</v>
      </c>
      <c r="Y24" s="6" t="s">
        <v>178</v>
      </c>
      <c r="Z24" s="4" t="s">
        <v>13</v>
      </c>
      <c r="AA24" s="6" t="s">
        <v>179</v>
      </c>
      <c r="AB24" s="6" t="s">
        <v>180</v>
      </c>
      <c r="AC24" s="6" t="s">
        <v>181</v>
      </c>
    </row>
    <row r="25" spans="1:29" ht="26" hidden="1" x14ac:dyDescent="0.35">
      <c r="A25" s="2">
        <v>814</v>
      </c>
      <c r="B25" s="3" t="s">
        <v>108</v>
      </c>
      <c r="C25" s="3" t="s">
        <v>52</v>
      </c>
      <c r="D25" s="3" t="s">
        <v>53</v>
      </c>
      <c r="E25" s="3" t="s">
        <v>64</v>
      </c>
      <c r="F25" s="3" t="s">
        <v>65</v>
      </c>
      <c r="G25" s="3" t="s">
        <v>66</v>
      </c>
      <c r="H25" s="3" t="s">
        <v>67</v>
      </c>
      <c r="I25" s="3" t="s">
        <v>2</v>
      </c>
      <c r="J25" s="3" t="s">
        <v>58</v>
      </c>
      <c r="K25" s="4" t="s">
        <v>14</v>
      </c>
      <c r="L25" s="4" t="s">
        <v>15</v>
      </c>
      <c r="M25" s="6"/>
      <c r="N25" s="4" t="s">
        <v>15</v>
      </c>
      <c r="O25" s="6"/>
      <c r="P25" s="7"/>
      <c r="Q25" s="6"/>
      <c r="R25" s="4" t="s">
        <v>14</v>
      </c>
      <c r="S25" s="6"/>
      <c r="T25" s="4" t="s">
        <v>15</v>
      </c>
      <c r="U25" s="6"/>
      <c r="V25" s="4" t="s">
        <v>14</v>
      </c>
      <c r="W25" s="6"/>
      <c r="X25" s="4" t="s">
        <v>14</v>
      </c>
      <c r="Y25" s="6"/>
      <c r="Z25" s="4" t="s">
        <v>14</v>
      </c>
      <c r="AA25" s="6" t="s">
        <v>182</v>
      </c>
      <c r="AB25" s="6" t="s">
        <v>183</v>
      </c>
      <c r="AC25" s="6" t="s">
        <v>184</v>
      </c>
    </row>
    <row r="26" spans="1:29" ht="26" hidden="1" x14ac:dyDescent="0.35">
      <c r="A26" s="2">
        <v>826</v>
      </c>
      <c r="B26" s="3" t="s">
        <v>108</v>
      </c>
      <c r="C26" s="3" t="s">
        <v>52</v>
      </c>
      <c r="D26" s="3" t="s">
        <v>86</v>
      </c>
      <c r="E26" s="3" t="s">
        <v>64</v>
      </c>
      <c r="F26" s="3" t="s">
        <v>65</v>
      </c>
      <c r="G26" s="3" t="s">
        <v>66</v>
      </c>
      <c r="H26" s="3" t="s">
        <v>67</v>
      </c>
      <c r="I26" s="3" t="s">
        <v>2</v>
      </c>
      <c r="J26" s="3" t="s">
        <v>58</v>
      </c>
      <c r="K26" s="4" t="s">
        <v>15</v>
      </c>
      <c r="L26" s="5"/>
      <c r="M26" s="6"/>
      <c r="N26" s="4" t="s">
        <v>13</v>
      </c>
      <c r="O26" s="6"/>
      <c r="P26" s="7"/>
      <c r="Q26" s="6"/>
      <c r="R26" s="5"/>
      <c r="S26" s="6"/>
      <c r="T26" s="5"/>
      <c r="U26" s="6"/>
      <c r="V26" s="5"/>
      <c r="W26" s="6"/>
      <c r="X26" s="4" t="s">
        <v>13</v>
      </c>
      <c r="Y26" s="6"/>
      <c r="Z26" s="4" t="s">
        <v>14</v>
      </c>
      <c r="AA26" s="6" t="s">
        <v>185</v>
      </c>
      <c r="AB26" s="6" t="s">
        <v>186</v>
      </c>
      <c r="AC26" s="6" t="s">
        <v>187</v>
      </c>
    </row>
    <row r="27" spans="1:29" ht="26" hidden="1" x14ac:dyDescent="0.35">
      <c r="A27" s="2">
        <v>870</v>
      </c>
      <c r="B27" s="3" t="s">
        <v>108</v>
      </c>
      <c r="C27" s="3" t="s">
        <v>52</v>
      </c>
      <c r="D27" s="3" t="s">
        <v>86</v>
      </c>
      <c r="E27" s="3" t="s">
        <v>87</v>
      </c>
      <c r="F27" s="3" t="s">
        <v>77</v>
      </c>
      <c r="G27" s="3" t="s">
        <v>103</v>
      </c>
      <c r="H27" s="3" t="s">
        <v>104</v>
      </c>
      <c r="I27" s="3" t="s">
        <v>4</v>
      </c>
      <c r="J27" s="3" t="s">
        <v>88</v>
      </c>
      <c r="K27" s="4" t="s">
        <v>13</v>
      </c>
      <c r="L27" s="5"/>
      <c r="M27" s="6"/>
      <c r="N27" s="4" t="s">
        <v>14</v>
      </c>
      <c r="O27" s="6"/>
      <c r="P27" s="3" t="s">
        <v>79</v>
      </c>
      <c r="Q27" s="6"/>
      <c r="R27" s="5"/>
      <c r="S27" s="6"/>
      <c r="T27" s="4" t="s">
        <v>15</v>
      </c>
      <c r="U27" s="6"/>
      <c r="V27" s="5"/>
      <c r="W27" s="6"/>
      <c r="X27" s="4" t="s">
        <v>15</v>
      </c>
      <c r="Y27" s="6"/>
      <c r="Z27" s="4" t="s">
        <v>15</v>
      </c>
      <c r="AA27" s="6" t="s">
        <v>188</v>
      </c>
      <c r="AB27" s="6" t="s">
        <v>189</v>
      </c>
      <c r="AC27" s="6" t="s">
        <v>190</v>
      </c>
    </row>
    <row r="28" spans="1:29" ht="52" x14ac:dyDescent="0.35">
      <c r="A28" s="2">
        <v>871</v>
      </c>
      <c r="B28" s="3" t="s">
        <v>51</v>
      </c>
      <c r="C28" s="3" t="s">
        <v>52</v>
      </c>
      <c r="D28" s="3" t="s">
        <v>86</v>
      </c>
      <c r="E28" s="3" t="s">
        <v>191</v>
      </c>
      <c r="F28" s="3" t="s">
        <v>97</v>
      </c>
      <c r="G28" s="3" t="s">
        <v>78</v>
      </c>
      <c r="H28" s="3" t="s">
        <v>78</v>
      </c>
      <c r="I28" s="3" t="s">
        <v>57</v>
      </c>
      <c r="J28" s="3" t="s">
        <v>58</v>
      </c>
      <c r="K28" s="4" t="s">
        <v>14</v>
      </c>
      <c r="L28" s="4" t="s">
        <v>15</v>
      </c>
      <c r="M28" s="6"/>
      <c r="N28" s="4" t="s">
        <v>11</v>
      </c>
      <c r="O28" s="6" t="s">
        <v>192</v>
      </c>
      <c r="P28" s="7"/>
      <c r="Q28" s="6"/>
      <c r="R28" s="4" t="s">
        <v>13</v>
      </c>
      <c r="S28" s="6"/>
      <c r="T28" s="4" t="s">
        <v>13</v>
      </c>
      <c r="U28" s="6"/>
      <c r="V28" s="4" t="s">
        <v>14</v>
      </c>
      <c r="W28" s="6"/>
      <c r="X28" s="4" t="s">
        <v>13</v>
      </c>
      <c r="Y28" s="6"/>
      <c r="Z28" s="4" t="s">
        <v>16</v>
      </c>
      <c r="AA28" s="6" t="s">
        <v>193</v>
      </c>
      <c r="AB28" s="6" t="s">
        <v>194</v>
      </c>
      <c r="AC28" s="6" t="s">
        <v>195</v>
      </c>
    </row>
    <row r="29" spans="1:29" x14ac:dyDescent="0.35">
      <c r="A29" s="2">
        <v>827</v>
      </c>
      <c r="B29" s="3" t="s">
        <v>51</v>
      </c>
      <c r="C29" s="3" t="s">
        <v>52</v>
      </c>
      <c r="D29" s="3" t="s">
        <v>86</v>
      </c>
      <c r="E29" s="3" t="s">
        <v>64</v>
      </c>
      <c r="F29" s="3" t="s">
        <v>65</v>
      </c>
      <c r="G29" s="3" t="s">
        <v>115</v>
      </c>
      <c r="H29" s="3" t="s">
        <v>115</v>
      </c>
      <c r="I29" s="3" t="s">
        <v>2</v>
      </c>
      <c r="J29" s="3" t="s">
        <v>58</v>
      </c>
      <c r="K29" s="4" t="s">
        <v>14</v>
      </c>
      <c r="L29" s="5"/>
      <c r="M29" s="6"/>
      <c r="N29" s="4" t="s">
        <v>14</v>
      </c>
      <c r="O29" s="6"/>
      <c r="P29" s="7"/>
      <c r="Q29" s="6"/>
      <c r="R29" s="4" t="s">
        <v>14</v>
      </c>
      <c r="S29" s="6"/>
      <c r="T29" s="4" t="s">
        <v>14</v>
      </c>
      <c r="U29" s="6"/>
      <c r="V29" s="4" t="s">
        <v>13</v>
      </c>
      <c r="W29" s="6"/>
      <c r="X29" s="4" t="s">
        <v>14</v>
      </c>
      <c r="Y29" s="6"/>
      <c r="Z29" s="4" t="s">
        <v>14</v>
      </c>
      <c r="AA29" s="6" t="s">
        <v>196</v>
      </c>
      <c r="AB29" s="6" t="s">
        <v>197</v>
      </c>
      <c r="AC29" s="6" t="s">
        <v>198</v>
      </c>
    </row>
    <row r="30" spans="1:29" ht="26" hidden="1" x14ac:dyDescent="0.35">
      <c r="A30" s="2">
        <v>876</v>
      </c>
      <c r="B30" s="3" t="s">
        <v>108</v>
      </c>
      <c r="C30" s="3" t="s">
        <v>52</v>
      </c>
      <c r="D30" s="3" t="s">
        <v>53</v>
      </c>
      <c r="E30" s="3" t="s">
        <v>64</v>
      </c>
      <c r="F30" s="3" t="s">
        <v>65</v>
      </c>
      <c r="G30" s="3" t="s">
        <v>66</v>
      </c>
      <c r="H30" s="3" t="s">
        <v>67</v>
      </c>
      <c r="I30" s="3" t="s">
        <v>57</v>
      </c>
      <c r="J30" s="3" t="s">
        <v>58</v>
      </c>
      <c r="K30" s="4" t="s">
        <v>14</v>
      </c>
      <c r="L30" s="5"/>
      <c r="M30" s="6"/>
      <c r="N30" s="4" t="s">
        <v>13</v>
      </c>
      <c r="O30" s="6"/>
      <c r="P30" s="3" t="s">
        <v>79</v>
      </c>
      <c r="Q30" s="6"/>
      <c r="R30" s="4" t="s">
        <v>15</v>
      </c>
      <c r="S30" s="6"/>
      <c r="T30" s="4" t="s">
        <v>14</v>
      </c>
      <c r="U30" s="6"/>
      <c r="V30" s="4" t="s">
        <v>14</v>
      </c>
      <c r="W30" s="6"/>
      <c r="X30" s="4" t="s">
        <v>14</v>
      </c>
      <c r="Y30" s="6"/>
      <c r="Z30" s="4" t="s">
        <v>15</v>
      </c>
      <c r="AA30" s="6" t="s">
        <v>199</v>
      </c>
      <c r="AB30" s="6" t="s">
        <v>200</v>
      </c>
      <c r="AC30" s="6" t="s">
        <v>201</v>
      </c>
    </row>
    <row r="31" spans="1:29" ht="39" x14ac:dyDescent="0.35">
      <c r="A31" s="2">
        <v>832</v>
      </c>
      <c r="B31" s="3" t="s">
        <v>51</v>
      </c>
      <c r="C31" s="3" t="s">
        <v>75</v>
      </c>
      <c r="D31" s="3" t="s">
        <v>53</v>
      </c>
      <c r="E31" s="3" t="s">
        <v>202</v>
      </c>
      <c r="F31" s="3" t="s">
        <v>65</v>
      </c>
      <c r="G31" s="3" t="s">
        <v>56</v>
      </c>
      <c r="H31" s="3" t="s">
        <v>56</v>
      </c>
      <c r="I31" s="3" t="s">
        <v>2</v>
      </c>
      <c r="J31" s="3" t="s">
        <v>58</v>
      </c>
      <c r="K31" s="4" t="s">
        <v>13</v>
      </c>
      <c r="L31" s="4" t="s">
        <v>13</v>
      </c>
      <c r="M31" s="6"/>
      <c r="N31" s="4" t="s">
        <v>13</v>
      </c>
      <c r="O31" s="6"/>
      <c r="P31" s="7"/>
      <c r="Q31" s="6"/>
      <c r="R31" s="4" t="s">
        <v>11</v>
      </c>
      <c r="S31" s="6" t="s">
        <v>203</v>
      </c>
      <c r="T31" s="4" t="s">
        <v>11</v>
      </c>
      <c r="U31" s="6" t="s">
        <v>204</v>
      </c>
      <c r="V31" s="4" t="s">
        <v>13</v>
      </c>
      <c r="W31" s="6"/>
      <c r="X31" s="4" t="s">
        <v>13</v>
      </c>
      <c r="Y31" s="6"/>
      <c r="Z31" s="4" t="s">
        <v>14</v>
      </c>
      <c r="AA31" s="6" t="s">
        <v>205</v>
      </c>
      <c r="AB31" s="6" t="s">
        <v>206</v>
      </c>
      <c r="AC31" s="6" t="s">
        <v>207</v>
      </c>
    </row>
    <row r="32" spans="1:29" ht="39" hidden="1" x14ac:dyDescent="0.35">
      <c r="A32" s="2">
        <v>949</v>
      </c>
      <c r="B32" s="3" t="s">
        <v>108</v>
      </c>
      <c r="C32" s="3" t="s">
        <v>52</v>
      </c>
      <c r="D32" s="3" t="s">
        <v>53</v>
      </c>
      <c r="E32" s="3" t="s">
        <v>64</v>
      </c>
      <c r="F32" s="3" t="s">
        <v>65</v>
      </c>
      <c r="G32" s="3" t="s">
        <v>115</v>
      </c>
      <c r="H32" s="3" t="s">
        <v>115</v>
      </c>
      <c r="I32" s="3" t="s">
        <v>2</v>
      </c>
      <c r="J32" s="3" t="s">
        <v>58</v>
      </c>
      <c r="K32" s="4" t="s">
        <v>12</v>
      </c>
      <c r="L32" s="4" t="s">
        <v>15</v>
      </c>
      <c r="M32" s="6"/>
      <c r="N32" s="5"/>
      <c r="O32" s="6"/>
      <c r="P32" s="7"/>
      <c r="Q32" s="6"/>
      <c r="R32" s="4" t="s">
        <v>14</v>
      </c>
      <c r="S32" s="6"/>
      <c r="T32" s="4" t="s">
        <v>13</v>
      </c>
      <c r="U32" s="6"/>
      <c r="V32" s="4" t="s">
        <v>13</v>
      </c>
      <c r="W32" s="6"/>
      <c r="X32" s="4" t="s">
        <v>14</v>
      </c>
      <c r="Y32" s="6"/>
      <c r="Z32" s="4" t="s">
        <v>14</v>
      </c>
      <c r="AA32" s="6" t="s">
        <v>208</v>
      </c>
      <c r="AB32" s="6" t="s">
        <v>209</v>
      </c>
      <c r="AC32" s="6" t="s">
        <v>210</v>
      </c>
    </row>
    <row r="33" spans="1:29" ht="26" hidden="1" x14ac:dyDescent="0.35">
      <c r="A33" s="2">
        <v>975</v>
      </c>
      <c r="B33" s="3" t="s">
        <v>108</v>
      </c>
      <c r="C33" s="3" t="s">
        <v>52</v>
      </c>
      <c r="D33" s="3" t="s">
        <v>53</v>
      </c>
      <c r="E33" s="3" t="s">
        <v>64</v>
      </c>
      <c r="F33" s="3" t="s">
        <v>65</v>
      </c>
      <c r="G33" s="3" t="s">
        <v>115</v>
      </c>
      <c r="H33" s="3" t="s">
        <v>115</v>
      </c>
      <c r="I33" s="3" t="s">
        <v>2</v>
      </c>
      <c r="J33" s="3" t="s">
        <v>58</v>
      </c>
      <c r="K33" s="4" t="s">
        <v>13</v>
      </c>
      <c r="L33" s="5"/>
      <c r="M33" s="6"/>
      <c r="N33" s="4" t="s">
        <v>14</v>
      </c>
      <c r="O33" s="6"/>
      <c r="P33" s="7"/>
      <c r="Q33" s="6"/>
      <c r="R33" s="5"/>
      <c r="S33" s="6"/>
      <c r="T33" s="5"/>
      <c r="U33" s="6"/>
      <c r="V33" s="4" t="s">
        <v>14</v>
      </c>
      <c r="W33" s="6"/>
      <c r="X33" s="4" t="s">
        <v>13</v>
      </c>
      <c r="Y33" s="6"/>
      <c r="Z33" s="4" t="s">
        <v>14</v>
      </c>
      <c r="AA33" s="6" t="s">
        <v>211</v>
      </c>
      <c r="AB33" s="6" t="s">
        <v>212</v>
      </c>
      <c r="AC33" s="6" t="s">
        <v>213</v>
      </c>
    </row>
    <row r="34" spans="1:29" ht="39" hidden="1" x14ac:dyDescent="0.35">
      <c r="A34" s="2">
        <v>1012</v>
      </c>
      <c r="B34" s="3" t="s">
        <v>108</v>
      </c>
      <c r="C34" s="3" t="s">
        <v>75</v>
      </c>
      <c r="D34" s="3" t="s">
        <v>86</v>
      </c>
      <c r="E34" s="3" t="s">
        <v>76</v>
      </c>
      <c r="F34" s="3" t="s">
        <v>77</v>
      </c>
      <c r="G34" s="3" t="s">
        <v>78</v>
      </c>
      <c r="H34" s="3" t="s">
        <v>78</v>
      </c>
      <c r="I34" s="3" t="s">
        <v>2</v>
      </c>
      <c r="J34" s="3" t="s">
        <v>88</v>
      </c>
      <c r="K34" s="4" t="s">
        <v>12</v>
      </c>
      <c r="L34" s="5"/>
      <c r="M34" s="6"/>
      <c r="N34" s="4" t="s">
        <v>14</v>
      </c>
      <c r="O34" s="6"/>
      <c r="P34" s="3" t="s">
        <v>79</v>
      </c>
      <c r="Q34" s="6"/>
      <c r="R34" s="5"/>
      <c r="S34" s="6"/>
      <c r="T34" s="5"/>
      <c r="U34" s="6"/>
      <c r="V34" s="5"/>
      <c r="W34" s="6"/>
      <c r="X34" s="4" t="s">
        <v>14</v>
      </c>
      <c r="Y34" s="6"/>
      <c r="Z34" s="4" t="s">
        <v>14</v>
      </c>
      <c r="AA34" s="6" t="s">
        <v>214</v>
      </c>
      <c r="AB34" s="6" t="s">
        <v>215</v>
      </c>
      <c r="AC34" s="6" t="s">
        <v>216</v>
      </c>
    </row>
    <row r="35" spans="1:29" ht="52" hidden="1" x14ac:dyDescent="0.35">
      <c r="A35" s="2">
        <v>892</v>
      </c>
      <c r="B35" s="3" t="s">
        <v>108</v>
      </c>
      <c r="C35" s="3" t="s">
        <v>52</v>
      </c>
      <c r="D35" s="3" t="s">
        <v>53</v>
      </c>
      <c r="E35" s="3" t="s">
        <v>87</v>
      </c>
      <c r="F35" s="3" t="s">
        <v>77</v>
      </c>
      <c r="G35" s="3" t="s">
        <v>103</v>
      </c>
      <c r="H35" s="3" t="s">
        <v>104</v>
      </c>
      <c r="I35" s="3" t="s">
        <v>57</v>
      </c>
      <c r="J35" s="3" t="s">
        <v>58</v>
      </c>
      <c r="K35" s="4" t="s">
        <v>13</v>
      </c>
      <c r="L35" s="5"/>
      <c r="M35" s="6"/>
      <c r="N35" s="4" t="s">
        <v>14</v>
      </c>
      <c r="O35" s="6"/>
      <c r="P35" s="7"/>
      <c r="Q35" s="6"/>
      <c r="R35" s="5"/>
      <c r="S35" s="6"/>
      <c r="T35" s="4" t="s">
        <v>11</v>
      </c>
      <c r="U35" s="6" t="s">
        <v>217</v>
      </c>
      <c r="V35" s="4" t="s">
        <v>12</v>
      </c>
      <c r="W35" s="6" t="s">
        <v>218</v>
      </c>
      <c r="X35" s="4" t="s">
        <v>14</v>
      </c>
      <c r="Y35" s="6"/>
      <c r="Z35" s="4" t="s">
        <v>14</v>
      </c>
      <c r="AA35" s="6" t="s">
        <v>219</v>
      </c>
      <c r="AB35" s="6" t="s">
        <v>220</v>
      </c>
      <c r="AC35" s="6" t="s">
        <v>221</v>
      </c>
    </row>
    <row r="36" spans="1:29" ht="26" hidden="1" x14ac:dyDescent="0.35">
      <c r="A36" s="2">
        <v>897</v>
      </c>
      <c r="B36" s="3" t="s">
        <v>108</v>
      </c>
      <c r="C36" s="3" t="s">
        <v>52</v>
      </c>
      <c r="D36" s="3" t="s">
        <v>53</v>
      </c>
      <c r="E36" s="3" t="s">
        <v>191</v>
      </c>
      <c r="F36" s="3" t="s">
        <v>97</v>
      </c>
      <c r="G36" s="3" t="s">
        <v>78</v>
      </c>
      <c r="H36" s="3" t="s">
        <v>78</v>
      </c>
      <c r="I36" s="3" t="s">
        <v>57</v>
      </c>
      <c r="J36" s="3" t="s">
        <v>58</v>
      </c>
      <c r="K36" s="4" t="s">
        <v>14</v>
      </c>
      <c r="L36" s="4" t="s">
        <v>14</v>
      </c>
      <c r="M36" s="6"/>
      <c r="N36" s="4" t="s">
        <v>14</v>
      </c>
      <c r="O36" s="6"/>
      <c r="P36" s="3" t="s">
        <v>109</v>
      </c>
      <c r="Q36" s="6" t="s">
        <v>222</v>
      </c>
      <c r="R36" s="5"/>
      <c r="S36" s="6"/>
      <c r="T36" s="5"/>
      <c r="U36" s="6"/>
      <c r="V36" s="5"/>
      <c r="W36" s="6"/>
      <c r="X36" s="4" t="s">
        <v>14</v>
      </c>
      <c r="Y36" s="6"/>
      <c r="Z36" s="4" t="s">
        <v>14</v>
      </c>
      <c r="AA36" s="6" t="s">
        <v>223</v>
      </c>
      <c r="AB36" s="6" t="s">
        <v>224</v>
      </c>
      <c r="AC36" s="6" t="s">
        <v>225</v>
      </c>
    </row>
    <row r="37" spans="1:29" hidden="1" x14ac:dyDescent="0.35">
      <c r="A37" s="2">
        <v>1013</v>
      </c>
      <c r="B37" s="3" t="s">
        <v>108</v>
      </c>
      <c r="C37" s="3" t="s">
        <v>75</v>
      </c>
      <c r="D37" s="3" t="s">
        <v>86</v>
      </c>
      <c r="E37" s="3" t="s">
        <v>202</v>
      </c>
      <c r="F37" s="3" t="s">
        <v>65</v>
      </c>
      <c r="G37" s="3" t="s">
        <v>226</v>
      </c>
      <c r="H37" s="3" t="s">
        <v>226</v>
      </c>
      <c r="I37" s="3" t="s">
        <v>2</v>
      </c>
      <c r="J37" s="3" t="s">
        <v>58</v>
      </c>
      <c r="K37" s="4" t="s">
        <v>14</v>
      </c>
      <c r="L37" s="5"/>
      <c r="M37" s="6"/>
      <c r="N37" s="5"/>
      <c r="O37" s="6"/>
      <c r="P37" s="7"/>
      <c r="Q37" s="6"/>
      <c r="R37" s="5"/>
      <c r="S37" s="6"/>
      <c r="T37" s="5"/>
      <c r="U37" s="6"/>
      <c r="V37" s="4" t="s">
        <v>14</v>
      </c>
      <c r="W37" s="6"/>
      <c r="X37" s="4" t="s">
        <v>14</v>
      </c>
      <c r="Y37" s="6"/>
      <c r="Z37" s="4" t="s">
        <v>14</v>
      </c>
      <c r="AA37" s="6" t="s">
        <v>227</v>
      </c>
      <c r="AB37" s="6" t="s">
        <v>228</v>
      </c>
      <c r="AC37" s="6" t="s">
        <v>229</v>
      </c>
    </row>
    <row r="38" spans="1:29" ht="91" x14ac:dyDescent="0.35">
      <c r="A38" s="2">
        <v>907</v>
      </c>
      <c r="B38" s="3" t="s">
        <v>51</v>
      </c>
      <c r="C38" s="3" t="s">
        <v>52</v>
      </c>
      <c r="D38" s="3" t="s">
        <v>53</v>
      </c>
      <c r="E38" s="3" t="s">
        <v>64</v>
      </c>
      <c r="F38" s="3" t="s">
        <v>65</v>
      </c>
      <c r="G38" s="3" t="s">
        <v>115</v>
      </c>
      <c r="H38" s="3" t="s">
        <v>115</v>
      </c>
      <c r="I38" s="3" t="s">
        <v>57</v>
      </c>
      <c r="J38" s="3" t="s">
        <v>58</v>
      </c>
      <c r="K38" s="4" t="s">
        <v>13</v>
      </c>
      <c r="L38" s="4" t="s">
        <v>15</v>
      </c>
      <c r="M38" s="6"/>
      <c r="N38" s="5"/>
      <c r="O38" s="6"/>
      <c r="P38" s="7"/>
      <c r="Q38" s="6"/>
      <c r="R38" s="4" t="s">
        <v>15</v>
      </c>
      <c r="S38" s="6"/>
      <c r="T38" s="4" t="s">
        <v>12</v>
      </c>
      <c r="U38" s="6" t="s">
        <v>230</v>
      </c>
      <c r="V38" s="4" t="s">
        <v>13</v>
      </c>
      <c r="W38" s="6"/>
      <c r="X38" s="4" t="s">
        <v>14</v>
      </c>
      <c r="Y38" s="6"/>
      <c r="Z38" s="4" t="s">
        <v>13</v>
      </c>
      <c r="AA38" s="6" t="s">
        <v>231</v>
      </c>
      <c r="AB38" s="6" t="s">
        <v>232</v>
      </c>
      <c r="AC38" s="6" t="s">
        <v>233</v>
      </c>
    </row>
    <row r="39" spans="1:29" ht="78" hidden="1" x14ac:dyDescent="0.35">
      <c r="A39" s="2">
        <v>909</v>
      </c>
      <c r="B39" s="3" t="s">
        <v>108</v>
      </c>
      <c r="C39" s="3" t="s">
        <v>52</v>
      </c>
      <c r="D39" s="3" t="s">
        <v>86</v>
      </c>
      <c r="E39" s="3" t="s">
        <v>64</v>
      </c>
      <c r="F39" s="3" t="s">
        <v>65</v>
      </c>
      <c r="G39" s="3" t="s">
        <v>66</v>
      </c>
      <c r="H39" s="3" t="s">
        <v>67</v>
      </c>
      <c r="I39" s="3" t="s">
        <v>57</v>
      </c>
      <c r="J39" s="3" t="s">
        <v>58</v>
      </c>
      <c r="K39" s="4" t="s">
        <v>14</v>
      </c>
      <c r="L39" s="4" t="s">
        <v>59</v>
      </c>
      <c r="M39" s="6"/>
      <c r="N39" s="5"/>
      <c r="O39" s="6"/>
      <c r="P39" s="7"/>
      <c r="Q39" s="6"/>
      <c r="R39" s="4" t="s">
        <v>15</v>
      </c>
      <c r="S39" s="6"/>
      <c r="T39" s="4" t="s">
        <v>13</v>
      </c>
      <c r="U39" s="6"/>
      <c r="V39" s="5"/>
      <c r="W39" s="6"/>
      <c r="X39" s="4" t="s">
        <v>59</v>
      </c>
      <c r="Y39" s="6"/>
      <c r="Z39" s="4" t="s">
        <v>16</v>
      </c>
      <c r="AA39" s="6" t="s">
        <v>234</v>
      </c>
      <c r="AB39" s="6" t="s">
        <v>235</v>
      </c>
      <c r="AC39" s="6" t="s">
        <v>236</v>
      </c>
    </row>
    <row r="40" spans="1:29" ht="104" hidden="1" x14ac:dyDescent="0.35">
      <c r="A40" s="2">
        <v>1066</v>
      </c>
      <c r="B40" s="3" t="s">
        <v>108</v>
      </c>
      <c r="C40" s="3" t="s">
        <v>52</v>
      </c>
      <c r="D40" s="3" t="s">
        <v>53</v>
      </c>
      <c r="E40" s="3" t="s">
        <v>64</v>
      </c>
      <c r="F40" s="3" t="s">
        <v>65</v>
      </c>
      <c r="G40" s="3" t="s">
        <v>115</v>
      </c>
      <c r="H40" s="3" t="s">
        <v>115</v>
      </c>
      <c r="I40" s="3" t="s">
        <v>2</v>
      </c>
      <c r="J40" s="3" t="s">
        <v>58</v>
      </c>
      <c r="K40" s="4" t="s">
        <v>13</v>
      </c>
      <c r="L40" s="4" t="s">
        <v>15</v>
      </c>
      <c r="M40" s="6"/>
      <c r="N40" s="4" t="s">
        <v>14</v>
      </c>
      <c r="O40" s="6"/>
      <c r="P40" s="3" t="s">
        <v>79</v>
      </c>
      <c r="Q40" s="6"/>
      <c r="R40" s="4" t="s">
        <v>14</v>
      </c>
      <c r="S40" s="6"/>
      <c r="T40" s="4" t="s">
        <v>13</v>
      </c>
      <c r="U40" s="6"/>
      <c r="V40" s="4" t="s">
        <v>12</v>
      </c>
      <c r="W40" s="6" t="s">
        <v>237</v>
      </c>
      <c r="X40" s="4" t="s">
        <v>14</v>
      </c>
      <c r="Y40" s="6"/>
      <c r="Z40" s="4" t="s">
        <v>14</v>
      </c>
      <c r="AA40" s="6" t="s">
        <v>238</v>
      </c>
      <c r="AB40" s="6" t="s">
        <v>239</v>
      </c>
      <c r="AC40" s="6" t="s">
        <v>240</v>
      </c>
    </row>
    <row r="41" spans="1:29" ht="39" hidden="1" x14ac:dyDescent="0.35">
      <c r="A41" s="2">
        <v>930</v>
      </c>
      <c r="B41" s="3" t="s">
        <v>108</v>
      </c>
      <c r="C41" s="3" t="s">
        <v>52</v>
      </c>
      <c r="D41" s="3" t="s">
        <v>86</v>
      </c>
      <c r="E41" s="3" t="s">
        <v>87</v>
      </c>
      <c r="F41" s="3" t="s">
        <v>77</v>
      </c>
      <c r="G41" s="3" t="s">
        <v>103</v>
      </c>
      <c r="H41" s="3" t="s">
        <v>104</v>
      </c>
      <c r="I41" s="3" t="s">
        <v>4</v>
      </c>
      <c r="J41" s="3" t="s">
        <v>88</v>
      </c>
      <c r="K41" s="4" t="s">
        <v>13</v>
      </c>
      <c r="L41" s="4" t="s">
        <v>13</v>
      </c>
      <c r="M41" s="6"/>
      <c r="N41" s="4" t="s">
        <v>14</v>
      </c>
      <c r="O41" s="6"/>
      <c r="P41" s="7"/>
      <c r="Q41" s="6"/>
      <c r="R41" s="5"/>
      <c r="S41" s="6"/>
      <c r="T41" s="5"/>
      <c r="U41" s="6"/>
      <c r="V41" s="4" t="s">
        <v>13</v>
      </c>
      <c r="W41" s="6"/>
      <c r="X41" s="4" t="s">
        <v>14</v>
      </c>
      <c r="Y41" s="6"/>
      <c r="Z41" s="4" t="s">
        <v>16</v>
      </c>
      <c r="AA41" s="6" t="s">
        <v>241</v>
      </c>
      <c r="AB41" s="6" t="s">
        <v>242</v>
      </c>
      <c r="AC41" s="6" t="s">
        <v>243</v>
      </c>
    </row>
    <row r="42" spans="1:29" ht="65" hidden="1" x14ac:dyDescent="0.35">
      <c r="A42" s="2">
        <v>931</v>
      </c>
      <c r="B42" s="3" t="s">
        <v>108</v>
      </c>
      <c r="C42" s="3" t="s">
        <v>52</v>
      </c>
      <c r="D42" s="3" t="s">
        <v>53</v>
      </c>
      <c r="E42" s="3" t="s">
        <v>64</v>
      </c>
      <c r="F42" s="3" t="s">
        <v>65</v>
      </c>
      <c r="G42" s="3" t="s">
        <v>66</v>
      </c>
      <c r="H42" s="3" t="s">
        <v>67</v>
      </c>
      <c r="I42" s="3" t="s">
        <v>57</v>
      </c>
      <c r="J42" s="3" t="s">
        <v>58</v>
      </c>
      <c r="K42" s="4" t="s">
        <v>14</v>
      </c>
      <c r="L42" s="4" t="s">
        <v>15</v>
      </c>
      <c r="M42" s="6"/>
      <c r="N42" s="4" t="s">
        <v>15</v>
      </c>
      <c r="O42" s="6"/>
      <c r="P42" s="3" t="s">
        <v>109</v>
      </c>
      <c r="Q42" s="6" t="s">
        <v>244</v>
      </c>
      <c r="R42" s="5"/>
      <c r="S42" s="6"/>
      <c r="T42" s="4" t="s">
        <v>14</v>
      </c>
      <c r="U42" s="6"/>
      <c r="V42" s="4" t="s">
        <v>14</v>
      </c>
      <c r="W42" s="6"/>
      <c r="X42" s="4" t="s">
        <v>15</v>
      </c>
      <c r="Y42" s="6"/>
      <c r="Z42" s="4" t="s">
        <v>16</v>
      </c>
      <c r="AA42" s="6" t="s">
        <v>245</v>
      </c>
      <c r="AB42" s="6" t="s">
        <v>246</v>
      </c>
      <c r="AC42" s="6" t="s">
        <v>247</v>
      </c>
    </row>
    <row r="43" spans="1:29" ht="26" hidden="1" x14ac:dyDescent="0.35">
      <c r="A43" s="2">
        <v>1084</v>
      </c>
      <c r="B43" s="3" t="s">
        <v>108</v>
      </c>
      <c r="C43" s="3" t="s">
        <v>75</v>
      </c>
      <c r="D43" s="3" t="s">
        <v>53</v>
      </c>
      <c r="E43" s="3" t="s">
        <v>76</v>
      </c>
      <c r="F43" s="3" t="s">
        <v>77</v>
      </c>
      <c r="G43" s="3" t="s">
        <v>78</v>
      </c>
      <c r="H43" s="3" t="s">
        <v>78</v>
      </c>
      <c r="I43" s="3" t="s">
        <v>2</v>
      </c>
      <c r="J43" s="3" t="s">
        <v>58</v>
      </c>
      <c r="K43" s="4" t="s">
        <v>14</v>
      </c>
      <c r="L43" s="4" t="s">
        <v>13</v>
      </c>
      <c r="M43" s="6"/>
      <c r="N43" s="5"/>
      <c r="O43" s="6"/>
      <c r="P43" s="7"/>
      <c r="Q43" s="6"/>
      <c r="R43" s="5"/>
      <c r="S43" s="6"/>
      <c r="T43" s="4" t="s">
        <v>13</v>
      </c>
      <c r="U43" s="6"/>
      <c r="V43" s="4" t="s">
        <v>14</v>
      </c>
      <c r="W43" s="6"/>
      <c r="X43" s="4" t="s">
        <v>14</v>
      </c>
      <c r="Y43" s="6"/>
      <c r="Z43" s="4" t="s">
        <v>14</v>
      </c>
      <c r="AA43" s="6" t="s">
        <v>248</v>
      </c>
      <c r="AB43" s="6" t="s">
        <v>249</v>
      </c>
      <c r="AC43" s="6" t="s">
        <v>250</v>
      </c>
    </row>
    <row r="44" spans="1:29" ht="39" hidden="1" x14ac:dyDescent="0.35">
      <c r="A44" s="2">
        <v>933</v>
      </c>
      <c r="B44" s="3" t="s">
        <v>108</v>
      </c>
      <c r="C44" s="3" t="s">
        <v>52</v>
      </c>
      <c r="D44" s="3" t="s">
        <v>86</v>
      </c>
      <c r="E44" s="3" t="s">
        <v>87</v>
      </c>
      <c r="F44" s="3" t="s">
        <v>77</v>
      </c>
      <c r="G44" s="3" t="s">
        <v>103</v>
      </c>
      <c r="H44" s="3" t="s">
        <v>104</v>
      </c>
      <c r="I44" s="3" t="s">
        <v>57</v>
      </c>
      <c r="J44" s="3" t="s">
        <v>58</v>
      </c>
      <c r="K44" s="4" t="s">
        <v>15</v>
      </c>
      <c r="L44" s="4" t="s">
        <v>14</v>
      </c>
      <c r="M44" s="6"/>
      <c r="N44" s="4" t="s">
        <v>15</v>
      </c>
      <c r="O44" s="6"/>
      <c r="P44" s="7"/>
      <c r="Q44" s="6"/>
      <c r="R44" s="5"/>
      <c r="S44" s="6"/>
      <c r="T44" s="4" t="s">
        <v>13</v>
      </c>
      <c r="U44" s="6"/>
      <c r="V44" s="4" t="s">
        <v>15</v>
      </c>
      <c r="W44" s="6"/>
      <c r="X44" s="4" t="s">
        <v>15</v>
      </c>
      <c r="Y44" s="6"/>
      <c r="Z44" s="4" t="s">
        <v>16</v>
      </c>
      <c r="AA44" s="6" t="s">
        <v>251</v>
      </c>
      <c r="AB44" s="6" t="s">
        <v>252</v>
      </c>
      <c r="AC44" s="6" t="s">
        <v>253</v>
      </c>
    </row>
    <row r="45" spans="1:29" ht="39" hidden="1" x14ac:dyDescent="0.35">
      <c r="A45" s="2">
        <v>1096</v>
      </c>
      <c r="B45" s="3" t="s">
        <v>108</v>
      </c>
      <c r="C45" s="3" t="s">
        <v>52</v>
      </c>
      <c r="D45" s="3" t="s">
        <v>53</v>
      </c>
      <c r="E45" s="3" t="s">
        <v>64</v>
      </c>
      <c r="F45" s="3" t="s">
        <v>65</v>
      </c>
      <c r="G45" s="3" t="s">
        <v>66</v>
      </c>
      <c r="H45" s="3" t="s">
        <v>67</v>
      </c>
      <c r="I45" s="3" t="s">
        <v>2</v>
      </c>
      <c r="J45" s="3" t="s">
        <v>58</v>
      </c>
      <c r="K45" s="4" t="s">
        <v>14</v>
      </c>
      <c r="L45" s="4" t="s">
        <v>15</v>
      </c>
      <c r="M45" s="6"/>
      <c r="N45" s="4" t="s">
        <v>13</v>
      </c>
      <c r="O45" s="6"/>
      <c r="P45" s="3" t="s">
        <v>79</v>
      </c>
      <c r="Q45" s="6"/>
      <c r="R45" s="5"/>
      <c r="S45" s="6"/>
      <c r="T45" s="4" t="s">
        <v>59</v>
      </c>
      <c r="U45" s="6"/>
      <c r="V45" s="4" t="s">
        <v>13</v>
      </c>
      <c r="W45" s="6"/>
      <c r="X45" s="4" t="s">
        <v>13</v>
      </c>
      <c r="Y45" s="6"/>
      <c r="Z45" s="4" t="s">
        <v>14</v>
      </c>
      <c r="AA45" s="6" t="s">
        <v>254</v>
      </c>
      <c r="AB45" s="6"/>
      <c r="AC45" s="6" t="s">
        <v>255</v>
      </c>
    </row>
    <row r="46" spans="1:29" ht="39" x14ac:dyDescent="0.35">
      <c r="A46" s="2">
        <v>1110</v>
      </c>
      <c r="B46" s="3" t="s">
        <v>51</v>
      </c>
      <c r="C46" s="3" t="s">
        <v>75</v>
      </c>
      <c r="D46" s="3" t="s">
        <v>86</v>
      </c>
      <c r="E46" s="3" t="s">
        <v>202</v>
      </c>
      <c r="F46" s="3" t="s">
        <v>65</v>
      </c>
      <c r="G46" s="3" t="s">
        <v>56</v>
      </c>
      <c r="H46" s="3" t="s">
        <v>56</v>
      </c>
      <c r="I46" s="3" t="s">
        <v>2</v>
      </c>
      <c r="J46" s="3" t="s">
        <v>58</v>
      </c>
      <c r="K46" s="4" t="s">
        <v>14</v>
      </c>
      <c r="L46" s="5"/>
      <c r="M46" s="6"/>
      <c r="N46" s="4" t="s">
        <v>13</v>
      </c>
      <c r="O46" s="6"/>
      <c r="P46" s="7"/>
      <c r="Q46" s="6"/>
      <c r="R46" s="5"/>
      <c r="S46" s="6"/>
      <c r="T46" s="5"/>
      <c r="U46" s="6"/>
      <c r="V46" s="4" t="s">
        <v>14</v>
      </c>
      <c r="W46" s="6"/>
      <c r="X46" s="4" t="s">
        <v>14</v>
      </c>
      <c r="Y46" s="6"/>
      <c r="Z46" s="4" t="s">
        <v>14</v>
      </c>
      <c r="AA46" s="6" t="s">
        <v>256</v>
      </c>
      <c r="AB46" s="6" t="s">
        <v>257</v>
      </c>
      <c r="AC46" s="6" t="s">
        <v>258</v>
      </c>
    </row>
    <row r="47" spans="1:29" ht="91" x14ac:dyDescent="0.35">
      <c r="A47" s="2">
        <v>938</v>
      </c>
      <c r="B47" s="3" t="s">
        <v>51</v>
      </c>
      <c r="C47" s="3" t="s">
        <v>52</v>
      </c>
      <c r="D47" s="3" t="s">
        <v>53</v>
      </c>
      <c r="E47" s="3" t="s">
        <v>64</v>
      </c>
      <c r="F47" s="3" t="s">
        <v>65</v>
      </c>
      <c r="G47" s="3" t="s">
        <v>115</v>
      </c>
      <c r="H47" s="3" t="s">
        <v>115</v>
      </c>
      <c r="I47" s="3" t="s">
        <v>127</v>
      </c>
      <c r="J47" s="3" t="s">
        <v>58</v>
      </c>
      <c r="K47" s="4" t="s">
        <v>11</v>
      </c>
      <c r="L47" s="4" t="s">
        <v>72</v>
      </c>
      <c r="M47" s="6"/>
      <c r="N47" s="4" t="s">
        <v>14</v>
      </c>
      <c r="O47" s="6"/>
      <c r="P47" s="7"/>
      <c r="Q47" s="6"/>
      <c r="R47" s="4" t="s">
        <v>9</v>
      </c>
      <c r="S47" s="6" t="s">
        <v>259</v>
      </c>
      <c r="T47" s="4" t="s">
        <v>13</v>
      </c>
      <c r="U47" s="6"/>
      <c r="V47" s="4" t="s">
        <v>14</v>
      </c>
      <c r="W47" s="6"/>
      <c r="X47" s="4" t="s">
        <v>15</v>
      </c>
      <c r="Y47" s="6"/>
      <c r="Z47" s="4" t="s">
        <v>15</v>
      </c>
      <c r="AA47" s="6" t="s">
        <v>260</v>
      </c>
      <c r="AB47" s="6" t="s">
        <v>261</v>
      </c>
      <c r="AC47" s="6" t="s">
        <v>262</v>
      </c>
    </row>
    <row r="48" spans="1:29" ht="26" x14ac:dyDescent="0.35">
      <c r="A48" s="2">
        <v>939</v>
      </c>
      <c r="B48" s="3" t="s">
        <v>51</v>
      </c>
      <c r="C48" s="3" t="s">
        <v>52</v>
      </c>
      <c r="D48" s="3" t="s">
        <v>86</v>
      </c>
      <c r="E48" s="3" t="s">
        <v>64</v>
      </c>
      <c r="F48" s="3" t="s">
        <v>65</v>
      </c>
      <c r="G48" s="3" t="s">
        <v>66</v>
      </c>
      <c r="H48" s="3" t="s">
        <v>67</v>
      </c>
      <c r="I48" s="3" t="s">
        <v>4</v>
      </c>
      <c r="J48" s="3" t="s">
        <v>58</v>
      </c>
      <c r="K48" s="4" t="s">
        <v>13</v>
      </c>
      <c r="L48" s="4" t="s">
        <v>15</v>
      </c>
      <c r="M48" s="6"/>
      <c r="N48" s="4" t="s">
        <v>15</v>
      </c>
      <c r="O48" s="6"/>
      <c r="P48" s="3" t="s">
        <v>109</v>
      </c>
      <c r="Q48" s="6" t="s">
        <v>263</v>
      </c>
      <c r="R48" s="4" t="s">
        <v>10</v>
      </c>
      <c r="S48" s="6" t="s">
        <v>264</v>
      </c>
      <c r="T48" s="4" t="s">
        <v>14</v>
      </c>
      <c r="U48" s="6"/>
      <c r="V48" s="5"/>
      <c r="W48" s="6"/>
      <c r="X48" s="4" t="s">
        <v>14</v>
      </c>
      <c r="Y48" s="6"/>
      <c r="Z48" s="4" t="s">
        <v>15</v>
      </c>
      <c r="AA48" s="6" t="s">
        <v>265</v>
      </c>
      <c r="AB48" s="6" t="s">
        <v>266</v>
      </c>
      <c r="AC48" s="6" t="s">
        <v>267</v>
      </c>
    </row>
    <row r="49" spans="1:29" ht="39" hidden="1" x14ac:dyDescent="0.35">
      <c r="A49" s="2">
        <v>944</v>
      </c>
      <c r="B49" s="3" t="s">
        <v>108</v>
      </c>
      <c r="C49" s="3" t="s">
        <v>52</v>
      </c>
      <c r="D49" s="3" t="s">
        <v>86</v>
      </c>
      <c r="E49" s="3" t="s">
        <v>64</v>
      </c>
      <c r="F49" s="3" t="s">
        <v>65</v>
      </c>
      <c r="G49" s="3" t="s">
        <v>115</v>
      </c>
      <c r="H49" s="3" t="s">
        <v>115</v>
      </c>
      <c r="I49" s="3" t="s">
        <v>57</v>
      </c>
      <c r="J49" s="3" t="s">
        <v>58</v>
      </c>
      <c r="K49" s="4" t="s">
        <v>15</v>
      </c>
      <c r="L49" s="4" t="s">
        <v>15</v>
      </c>
      <c r="M49" s="6"/>
      <c r="N49" s="4" t="s">
        <v>13</v>
      </c>
      <c r="O49" s="6"/>
      <c r="P49" s="7"/>
      <c r="Q49" s="6"/>
      <c r="R49" s="4" t="s">
        <v>13</v>
      </c>
      <c r="S49" s="6"/>
      <c r="T49" s="4" t="s">
        <v>13</v>
      </c>
      <c r="U49" s="6"/>
      <c r="V49" s="4" t="s">
        <v>14</v>
      </c>
      <c r="W49" s="6"/>
      <c r="X49" s="4" t="s">
        <v>14</v>
      </c>
      <c r="Y49" s="6"/>
      <c r="Z49" s="4" t="s">
        <v>15</v>
      </c>
      <c r="AA49" s="6" t="s">
        <v>268</v>
      </c>
      <c r="AB49" s="6" t="s">
        <v>269</v>
      </c>
      <c r="AC49" s="6" t="s">
        <v>270</v>
      </c>
    </row>
    <row r="50" spans="1:29" ht="52" hidden="1" x14ac:dyDescent="0.35">
      <c r="A50" s="2">
        <v>1118</v>
      </c>
      <c r="B50" s="3" t="s">
        <v>108</v>
      </c>
      <c r="C50" s="3" t="s">
        <v>52</v>
      </c>
      <c r="D50" s="3" t="s">
        <v>53</v>
      </c>
      <c r="E50" s="3" t="s">
        <v>64</v>
      </c>
      <c r="F50" s="3" t="s">
        <v>65</v>
      </c>
      <c r="G50" s="3" t="s">
        <v>115</v>
      </c>
      <c r="H50" s="3" t="s">
        <v>115</v>
      </c>
      <c r="I50" s="3" t="s">
        <v>2</v>
      </c>
      <c r="J50" s="3" t="s">
        <v>58</v>
      </c>
      <c r="K50" s="4" t="s">
        <v>13</v>
      </c>
      <c r="L50" s="4" t="s">
        <v>59</v>
      </c>
      <c r="M50" s="6"/>
      <c r="N50" s="4" t="s">
        <v>59</v>
      </c>
      <c r="O50" s="6"/>
      <c r="P50" s="7"/>
      <c r="Q50" s="6"/>
      <c r="R50" s="4" t="s">
        <v>14</v>
      </c>
      <c r="S50" s="6"/>
      <c r="T50" s="4" t="s">
        <v>14</v>
      </c>
      <c r="U50" s="6"/>
      <c r="V50" s="4" t="s">
        <v>13</v>
      </c>
      <c r="W50" s="6"/>
      <c r="X50" s="4" t="s">
        <v>11</v>
      </c>
      <c r="Y50" s="6" t="s">
        <v>271</v>
      </c>
      <c r="Z50" s="4" t="s">
        <v>14</v>
      </c>
      <c r="AA50" s="6" t="s">
        <v>272</v>
      </c>
      <c r="AB50" s="6" t="s">
        <v>273</v>
      </c>
      <c r="AC50" s="6" t="s">
        <v>274</v>
      </c>
    </row>
    <row r="51" spans="1:29" ht="78" hidden="1" x14ac:dyDescent="0.35">
      <c r="A51" s="2">
        <v>1143</v>
      </c>
      <c r="B51" s="3" t="s">
        <v>108</v>
      </c>
      <c r="C51" s="3" t="s">
        <v>52</v>
      </c>
      <c r="D51" s="3" t="s">
        <v>53</v>
      </c>
      <c r="E51" s="3" t="s">
        <v>64</v>
      </c>
      <c r="F51" s="3" t="s">
        <v>65</v>
      </c>
      <c r="G51" s="3" t="s">
        <v>115</v>
      </c>
      <c r="H51" s="3" t="s">
        <v>115</v>
      </c>
      <c r="I51" s="3" t="s">
        <v>2</v>
      </c>
      <c r="J51" s="3" t="s">
        <v>58</v>
      </c>
      <c r="K51" s="4" t="s">
        <v>12</v>
      </c>
      <c r="L51" s="5"/>
      <c r="M51" s="6"/>
      <c r="N51" s="5"/>
      <c r="O51" s="6"/>
      <c r="P51" s="7"/>
      <c r="Q51" s="6"/>
      <c r="R51" s="5"/>
      <c r="S51" s="6"/>
      <c r="T51" s="4" t="s">
        <v>14</v>
      </c>
      <c r="U51" s="6"/>
      <c r="V51" s="4" t="s">
        <v>14</v>
      </c>
      <c r="W51" s="6"/>
      <c r="X51" s="4" t="s">
        <v>15</v>
      </c>
      <c r="Y51" s="6"/>
      <c r="Z51" s="4" t="s">
        <v>14</v>
      </c>
      <c r="AA51" s="6" t="s">
        <v>275</v>
      </c>
      <c r="AB51" s="6" t="s">
        <v>276</v>
      </c>
      <c r="AC51" s="6" t="s">
        <v>277</v>
      </c>
    </row>
    <row r="52" spans="1:29" ht="91" hidden="1" x14ac:dyDescent="0.35">
      <c r="A52" s="2">
        <v>950</v>
      </c>
      <c r="B52" s="3" t="s">
        <v>108</v>
      </c>
      <c r="C52" s="3" t="s">
        <v>52</v>
      </c>
      <c r="D52" s="3" t="s">
        <v>53</v>
      </c>
      <c r="E52" s="3" t="s">
        <v>87</v>
      </c>
      <c r="F52" s="3" t="s">
        <v>77</v>
      </c>
      <c r="G52" s="3" t="s">
        <v>103</v>
      </c>
      <c r="H52" s="3" t="s">
        <v>104</v>
      </c>
      <c r="I52" s="3" t="s">
        <v>127</v>
      </c>
      <c r="J52" s="3" t="s">
        <v>58</v>
      </c>
      <c r="K52" s="4" t="s">
        <v>13</v>
      </c>
      <c r="L52" s="4" t="s">
        <v>59</v>
      </c>
      <c r="M52" s="6"/>
      <c r="N52" s="4" t="s">
        <v>13</v>
      </c>
      <c r="O52" s="6"/>
      <c r="P52" s="3" t="s">
        <v>109</v>
      </c>
      <c r="Q52" s="6" t="s">
        <v>278</v>
      </c>
      <c r="R52" s="4" t="s">
        <v>13</v>
      </c>
      <c r="S52" s="6"/>
      <c r="T52" s="4" t="s">
        <v>15</v>
      </c>
      <c r="U52" s="6"/>
      <c r="V52" s="4" t="s">
        <v>12</v>
      </c>
      <c r="W52" s="6" t="s">
        <v>279</v>
      </c>
      <c r="X52" s="4" t="s">
        <v>15</v>
      </c>
      <c r="Y52" s="6"/>
      <c r="Z52" s="4" t="s">
        <v>16</v>
      </c>
      <c r="AA52" s="6" t="s">
        <v>280</v>
      </c>
      <c r="AB52" s="6" t="s">
        <v>281</v>
      </c>
      <c r="AC52" s="6" t="s">
        <v>282</v>
      </c>
    </row>
    <row r="53" spans="1:29" ht="26" hidden="1" x14ac:dyDescent="0.35">
      <c r="A53" s="2">
        <v>951</v>
      </c>
      <c r="B53" s="3" t="s">
        <v>108</v>
      </c>
      <c r="C53" s="3" t="s">
        <v>52</v>
      </c>
      <c r="D53" s="3" t="s">
        <v>86</v>
      </c>
      <c r="E53" s="3" t="s">
        <v>64</v>
      </c>
      <c r="F53" s="3" t="s">
        <v>65</v>
      </c>
      <c r="G53" s="3" t="s">
        <v>115</v>
      </c>
      <c r="H53" s="3" t="s">
        <v>115</v>
      </c>
      <c r="I53" s="3" t="s">
        <v>127</v>
      </c>
      <c r="J53" s="3" t="s">
        <v>58</v>
      </c>
      <c r="K53" s="4" t="s">
        <v>12</v>
      </c>
      <c r="L53" s="5"/>
      <c r="M53" s="6"/>
      <c r="N53" s="5"/>
      <c r="O53" s="6"/>
      <c r="P53" s="7"/>
      <c r="Q53" s="6"/>
      <c r="R53" s="4" t="s">
        <v>10</v>
      </c>
      <c r="S53" s="6" t="s">
        <v>283</v>
      </c>
      <c r="T53" s="4" t="s">
        <v>13</v>
      </c>
      <c r="U53" s="6"/>
      <c r="V53" s="4" t="s">
        <v>10</v>
      </c>
      <c r="W53" s="6" t="s">
        <v>284</v>
      </c>
      <c r="X53" s="4" t="s">
        <v>12</v>
      </c>
      <c r="Y53" s="6" t="s">
        <v>285</v>
      </c>
      <c r="Z53" s="4" t="s">
        <v>13</v>
      </c>
      <c r="AA53" s="6" t="s">
        <v>286</v>
      </c>
      <c r="AB53" s="6" t="s">
        <v>287</v>
      </c>
      <c r="AC53" s="6" t="s">
        <v>288</v>
      </c>
    </row>
    <row r="54" spans="1:29" ht="65" x14ac:dyDescent="0.35">
      <c r="A54" s="2">
        <v>952</v>
      </c>
      <c r="B54" s="3" t="s">
        <v>51</v>
      </c>
      <c r="C54" s="3" t="s">
        <v>52</v>
      </c>
      <c r="D54" s="3" t="s">
        <v>53</v>
      </c>
      <c r="E54" s="3" t="s">
        <v>191</v>
      </c>
      <c r="F54" s="3" t="s">
        <v>97</v>
      </c>
      <c r="G54" s="3" t="s">
        <v>78</v>
      </c>
      <c r="H54" s="3" t="s">
        <v>78</v>
      </c>
      <c r="I54" s="3" t="s">
        <v>127</v>
      </c>
      <c r="J54" s="3" t="s">
        <v>58</v>
      </c>
      <c r="K54" s="4" t="s">
        <v>9</v>
      </c>
      <c r="L54" s="5"/>
      <c r="M54" s="6"/>
      <c r="N54" s="4" t="s">
        <v>12</v>
      </c>
      <c r="O54" s="6" t="s">
        <v>289</v>
      </c>
      <c r="P54" s="3" t="s">
        <v>172</v>
      </c>
      <c r="Q54" s="6" t="s">
        <v>290</v>
      </c>
      <c r="R54" s="5"/>
      <c r="S54" s="6"/>
      <c r="T54" s="4" t="s">
        <v>14</v>
      </c>
      <c r="U54" s="6"/>
      <c r="V54" s="4" t="s">
        <v>12</v>
      </c>
      <c r="W54" s="6" t="s">
        <v>291</v>
      </c>
      <c r="X54" s="4" t="s">
        <v>72</v>
      </c>
      <c r="Y54" s="6"/>
      <c r="Z54" s="4" t="s">
        <v>11</v>
      </c>
      <c r="AA54" s="6" t="s">
        <v>292</v>
      </c>
      <c r="AB54" s="6" t="s">
        <v>293</v>
      </c>
      <c r="AC54" s="6" t="s">
        <v>294</v>
      </c>
    </row>
    <row r="55" spans="1:29" ht="65" hidden="1" x14ac:dyDescent="0.35">
      <c r="A55" s="2">
        <v>958</v>
      </c>
      <c r="B55" s="3" t="s">
        <v>108</v>
      </c>
      <c r="C55" s="3" t="s">
        <v>52</v>
      </c>
      <c r="D55" s="3" t="s">
        <v>53</v>
      </c>
      <c r="E55" s="3" t="s">
        <v>64</v>
      </c>
      <c r="F55" s="3" t="s">
        <v>65</v>
      </c>
      <c r="G55" s="3" t="s">
        <v>66</v>
      </c>
      <c r="H55" s="3" t="s">
        <v>67</v>
      </c>
      <c r="I55" s="3" t="s">
        <v>4</v>
      </c>
      <c r="J55" s="3" t="s">
        <v>58</v>
      </c>
      <c r="K55" s="4" t="s">
        <v>10</v>
      </c>
      <c r="L55" s="4" t="s">
        <v>14</v>
      </c>
      <c r="M55" s="6"/>
      <c r="N55" s="4" t="s">
        <v>14</v>
      </c>
      <c r="O55" s="6"/>
      <c r="P55" s="3" t="s">
        <v>79</v>
      </c>
      <c r="Q55" s="6"/>
      <c r="R55" s="4" t="s">
        <v>13</v>
      </c>
      <c r="S55" s="6"/>
      <c r="T55" s="4" t="s">
        <v>10</v>
      </c>
      <c r="U55" s="6" t="s">
        <v>295</v>
      </c>
      <c r="V55" s="4" t="s">
        <v>13</v>
      </c>
      <c r="W55" s="6"/>
      <c r="X55" s="4" t="s">
        <v>13</v>
      </c>
      <c r="Y55" s="6"/>
      <c r="Z55" s="4" t="s">
        <v>13</v>
      </c>
      <c r="AA55" s="6" t="s">
        <v>296</v>
      </c>
      <c r="AB55" s="6" t="s">
        <v>297</v>
      </c>
      <c r="AC55" s="6" t="s">
        <v>298</v>
      </c>
    </row>
    <row r="56" spans="1:29" x14ac:dyDescent="0.35">
      <c r="A56" s="2">
        <v>964</v>
      </c>
      <c r="B56" s="3" t="s">
        <v>51</v>
      </c>
      <c r="C56" s="3" t="s">
        <v>52</v>
      </c>
      <c r="D56" s="3" t="s">
        <v>53</v>
      </c>
      <c r="E56" s="3" t="s">
        <v>64</v>
      </c>
      <c r="F56" s="3" t="s">
        <v>65</v>
      </c>
      <c r="G56" s="3" t="s">
        <v>115</v>
      </c>
      <c r="H56" s="3" t="s">
        <v>115</v>
      </c>
      <c r="I56" s="3" t="s">
        <v>57</v>
      </c>
      <c r="J56" s="3" t="s">
        <v>58</v>
      </c>
      <c r="K56" s="4" t="s">
        <v>14</v>
      </c>
      <c r="L56" s="4" t="s">
        <v>15</v>
      </c>
      <c r="M56" s="6"/>
      <c r="N56" s="4" t="s">
        <v>15</v>
      </c>
      <c r="O56" s="6"/>
      <c r="P56" s="7"/>
      <c r="Q56" s="6"/>
      <c r="R56" s="4" t="s">
        <v>13</v>
      </c>
      <c r="S56" s="6"/>
      <c r="T56" s="4" t="s">
        <v>14</v>
      </c>
      <c r="U56" s="6"/>
      <c r="V56" s="4" t="s">
        <v>14</v>
      </c>
      <c r="W56" s="6"/>
      <c r="X56" s="4" t="s">
        <v>14</v>
      </c>
      <c r="Y56" s="6"/>
      <c r="Z56" s="4" t="s">
        <v>15</v>
      </c>
      <c r="AA56" s="6" t="s">
        <v>299</v>
      </c>
      <c r="AB56" s="6" t="s">
        <v>300</v>
      </c>
      <c r="AC56" s="6" t="s">
        <v>301</v>
      </c>
    </row>
    <row r="57" spans="1:29" ht="39" x14ac:dyDescent="0.35">
      <c r="A57" s="2">
        <v>965</v>
      </c>
      <c r="B57" s="3" t="s">
        <v>51</v>
      </c>
      <c r="C57" s="3" t="s">
        <v>52</v>
      </c>
      <c r="D57" s="3" t="s">
        <v>53</v>
      </c>
      <c r="E57" s="3" t="s">
        <v>54</v>
      </c>
      <c r="F57" s="3" t="s">
        <v>55</v>
      </c>
      <c r="G57" s="3" t="s">
        <v>56</v>
      </c>
      <c r="H57" s="3" t="s">
        <v>56</v>
      </c>
      <c r="I57" s="3" t="s">
        <v>57</v>
      </c>
      <c r="J57" s="3" t="s">
        <v>58</v>
      </c>
      <c r="K57" s="4" t="s">
        <v>13</v>
      </c>
      <c r="L57" s="4" t="s">
        <v>15</v>
      </c>
      <c r="M57" s="6"/>
      <c r="N57" s="4" t="s">
        <v>12</v>
      </c>
      <c r="O57" s="6" t="s">
        <v>302</v>
      </c>
      <c r="P57" s="7"/>
      <c r="Q57" s="6"/>
      <c r="R57" s="4" t="s">
        <v>12</v>
      </c>
      <c r="S57" s="6" t="s">
        <v>303</v>
      </c>
      <c r="T57" s="4" t="s">
        <v>14</v>
      </c>
      <c r="U57" s="6"/>
      <c r="V57" s="4" t="s">
        <v>13</v>
      </c>
      <c r="W57" s="6"/>
      <c r="X57" s="4" t="s">
        <v>14</v>
      </c>
      <c r="Y57" s="6"/>
      <c r="Z57" s="4" t="s">
        <v>12</v>
      </c>
      <c r="AA57" s="6" t="s">
        <v>304</v>
      </c>
      <c r="AB57" s="6" t="s">
        <v>305</v>
      </c>
      <c r="AC57" s="6" t="s">
        <v>306</v>
      </c>
    </row>
    <row r="58" spans="1:29" ht="78" x14ac:dyDescent="0.35">
      <c r="A58" s="2">
        <v>972</v>
      </c>
      <c r="B58" s="3" t="s">
        <v>51</v>
      </c>
      <c r="C58" s="3" t="s">
        <v>52</v>
      </c>
      <c r="D58" s="3" t="s">
        <v>86</v>
      </c>
      <c r="E58" s="3" t="s">
        <v>64</v>
      </c>
      <c r="F58" s="3" t="s">
        <v>65</v>
      </c>
      <c r="G58" s="3" t="s">
        <v>66</v>
      </c>
      <c r="H58" s="3" t="s">
        <v>67</v>
      </c>
      <c r="I58" s="3" t="s">
        <v>4</v>
      </c>
      <c r="J58" s="3" t="s">
        <v>58</v>
      </c>
      <c r="K58" s="4" t="s">
        <v>8</v>
      </c>
      <c r="L58" s="4" t="s">
        <v>14</v>
      </c>
      <c r="M58" s="6"/>
      <c r="N58" s="4" t="s">
        <v>15</v>
      </c>
      <c r="O58" s="6"/>
      <c r="P58" s="7"/>
      <c r="Q58" s="6"/>
      <c r="R58" s="4" t="s">
        <v>10</v>
      </c>
      <c r="S58" s="6" t="s">
        <v>307</v>
      </c>
      <c r="T58" s="4" t="s">
        <v>13</v>
      </c>
      <c r="U58" s="6"/>
      <c r="V58" s="4" t="s">
        <v>12</v>
      </c>
      <c r="W58" s="6" t="s">
        <v>308</v>
      </c>
      <c r="X58" s="4" t="s">
        <v>12</v>
      </c>
      <c r="Y58" s="6" t="s">
        <v>309</v>
      </c>
      <c r="Z58" s="4" t="s">
        <v>9</v>
      </c>
      <c r="AA58" s="6" t="s">
        <v>310</v>
      </c>
      <c r="AB58" s="6" t="s">
        <v>311</v>
      </c>
      <c r="AC58" s="6" t="s">
        <v>312</v>
      </c>
    </row>
    <row r="59" spans="1:29" ht="52" hidden="1" x14ac:dyDescent="0.35">
      <c r="A59" s="2">
        <v>1146</v>
      </c>
      <c r="B59" s="3" t="s">
        <v>108</v>
      </c>
      <c r="C59" s="3" t="s">
        <v>75</v>
      </c>
      <c r="D59" s="3" t="s">
        <v>53</v>
      </c>
      <c r="E59" s="3" t="s">
        <v>76</v>
      </c>
      <c r="F59" s="3" t="s">
        <v>77</v>
      </c>
      <c r="G59" s="3" t="s">
        <v>78</v>
      </c>
      <c r="H59" s="3" t="s">
        <v>78</v>
      </c>
      <c r="I59" s="3" t="s">
        <v>2</v>
      </c>
      <c r="J59" s="3" t="s">
        <v>58</v>
      </c>
      <c r="K59" s="4" t="s">
        <v>14</v>
      </c>
      <c r="L59" s="4" t="s">
        <v>14</v>
      </c>
      <c r="M59" s="6"/>
      <c r="N59" s="5"/>
      <c r="O59" s="6"/>
      <c r="P59" s="7"/>
      <c r="Q59" s="6"/>
      <c r="R59" s="4" t="s">
        <v>11</v>
      </c>
      <c r="S59" s="6" t="s">
        <v>313</v>
      </c>
      <c r="T59" s="4" t="s">
        <v>12</v>
      </c>
      <c r="U59" s="6" t="s">
        <v>314</v>
      </c>
      <c r="V59" s="5"/>
      <c r="W59" s="6"/>
      <c r="X59" s="4" t="s">
        <v>14</v>
      </c>
      <c r="Y59" s="6"/>
      <c r="Z59" s="4" t="s">
        <v>14</v>
      </c>
      <c r="AA59" s="6" t="s">
        <v>315</v>
      </c>
      <c r="AB59" s="6" t="s">
        <v>316</v>
      </c>
      <c r="AC59" s="6" t="s">
        <v>317</v>
      </c>
    </row>
    <row r="60" spans="1:29" ht="52" x14ac:dyDescent="0.35">
      <c r="A60" s="2">
        <v>1151</v>
      </c>
      <c r="B60" s="3" t="s">
        <v>51</v>
      </c>
      <c r="C60" s="3" t="s">
        <v>52</v>
      </c>
      <c r="D60" s="3" t="s">
        <v>53</v>
      </c>
      <c r="E60" s="3" t="s">
        <v>54</v>
      </c>
      <c r="F60" s="3" t="s">
        <v>55</v>
      </c>
      <c r="G60" s="3" t="s">
        <v>103</v>
      </c>
      <c r="H60" s="3" t="s">
        <v>104</v>
      </c>
      <c r="I60" s="3" t="s">
        <v>2</v>
      </c>
      <c r="J60" s="3" t="s">
        <v>58</v>
      </c>
      <c r="K60" s="4" t="s">
        <v>13</v>
      </c>
      <c r="L60" s="5"/>
      <c r="M60" s="6"/>
      <c r="N60" s="4" t="s">
        <v>14</v>
      </c>
      <c r="O60" s="6"/>
      <c r="P60" s="3" t="s">
        <v>109</v>
      </c>
      <c r="Q60" s="6" t="s">
        <v>318</v>
      </c>
      <c r="R60" s="4" t="s">
        <v>13</v>
      </c>
      <c r="S60" s="6"/>
      <c r="T60" s="4" t="s">
        <v>11</v>
      </c>
      <c r="U60" s="6" t="s">
        <v>319</v>
      </c>
      <c r="V60" s="4" t="s">
        <v>14</v>
      </c>
      <c r="W60" s="6"/>
      <c r="X60" s="4" t="s">
        <v>12</v>
      </c>
      <c r="Y60" s="6" t="s">
        <v>320</v>
      </c>
      <c r="Z60" s="4" t="s">
        <v>14</v>
      </c>
      <c r="AA60" s="6" t="s">
        <v>321</v>
      </c>
      <c r="AB60" s="6" t="s">
        <v>322</v>
      </c>
      <c r="AC60" s="6" t="s">
        <v>323</v>
      </c>
    </row>
    <row r="61" spans="1:29" ht="39" hidden="1" x14ac:dyDescent="0.35">
      <c r="A61" s="2">
        <v>978</v>
      </c>
      <c r="B61" s="3" t="s">
        <v>108</v>
      </c>
      <c r="C61" s="3" t="s">
        <v>75</v>
      </c>
      <c r="D61" s="3" t="s">
        <v>86</v>
      </c>
      <c r="E61" s="3" t="s">
        <v>202</v>
      </c>
      <c r="F61" s="3" t="s">
        <v>65</v>
      </c>
      <c r="G61" s="3" t="s">
        <v>226</v>
      </c>
      <c r="H61" s="3" t="s">
        <v>226</v>
      </c>
      <c r="I61" s="3" t="s">
        <v>57</v>
      </c>
      <c r="J61" s="3" t="s">
        <v>58</v>
      </c>
      <c r="K61" s="4" t="s">
        <v>12</v>
      </c>
      <c r="L61" s="4" t="s">
        <v>59</v>
      </c>
      <c r="M61" s="6"/>
      <c r="N61" s="5"/>
      <c r="O61" s="6"/>
      <c r="P61" s="7"/>
      <c r="Q61" s="6"/>
      <c r="R61" s="5"/>
      <c r="S61" s="6"/>
      <c r="T61" s="4" t="s">
        <v>11</v>
      </c>
      <c r="U61" s="6" t="s">
        <v>324</v>
      </c>
      <c r="V61" s="4" t="s">
        <v>12</v>
      </c>
      <c r="W61" s="6" t="s">
        <v>325</v>
      </c>
      <c r="X61" s="4" t="s">
        <v>59</v>
      </c>
      <c r="Y61" s="6"/>
      <c r="Z61" s="4" t="s">
        <v>14</v>
      </c>
      <c r="AA61" s="6" t="s">
        <v>326</v>
      </c>
      <c r="AB61" s="6" t="s">
        <v>327</v>
      </c>
      <c r="AC61" s="6" t="s">
        <v>328</v>
      </c>
    </row>
    <row r="62" spans="1:29" ht="91" hidden="1" x14ac:dyDescent="0.35">
      <c r="A62" s="2">
        <v>984</v>
      </c>
      <c r="B62" s="3" t="s">
        <v>108</v>
      </c>
      <c r="C62" s="3" t="s">
        <v>52</v>
      </c>
      <c r="D62" s="3" t="s">
        <v>86</v>
      </c>
      <c r="E62" s="3" t="s">
        <v>64</v>
      </c>
      <c r="F62" s="3" t="s">
        <v>65</v>
      </c>
      <c r="G62" s="3" t="s">
        <v>66</v>
      </c>
      <c r="H62" s="3" t="s">
        <v>67</v>
      </c>
      <c r="I62" s="3" t="s">
        <v>4</v>
      </c>
      <c r="J62" s="3" t="s">
        <v>58</v>
      </c>
      <c r="K62" s="4" t="s">
        <v>14</v>
      </c>
      <c r="L62" s="4" t="s">
        <v>59</v>
      </c>
      <c r="M62" s="6"/>
      <c r="N62" s="4" t="s">
        <v>14</v>
      </c>
      <c r="O62" s="6"/>
      <c r="P62" s="3" t="s">
        <v>79</v>
      </c>
      <c r="Q62" s="6"/>
      <c r="R62" s="5"/>
      <c r="S62" s="6"/>
      <c r="T62" s="4" t="s">
        <v>59</v>
      </c>
      <c r="U62" s="6"/>
      <c r="V62" s="4" t="s">
        <v>59</v>
      </c>
      <c r="W62" s="6"/>
      <c r="X62" s="4" t="s">
        <v>15</v>
      </c>
      <c r="Y62" s="6"/>
      <c r="Z62" s="4" t="s">
        <v>16</v>
      </c>
      <c r="AA62" s="6" t="s">
        <v>329</v>
      </c>
      <c r="AB62" s="6" t="s">
        <v>330</v>
      </c>
      <c r="AC62" s="6" t="s">
        <v>331</v>
      </c>
    </row>
    <row r="63" spans="1:29" ht="26" x14ac:dyDescent="0.35">
      <c r="A63" s="2">
        <v>986</v>
      </c>
      <c r="B63" s="3" t="s">
        <v>51</v>
      </c>
      <c r="C63" s="3" t="s">
        <v>52</v>
      </c>
      <c r="D63" s="3" t="s">
        <v>86</v>
      </c>
      <c r="E63" s="3" t="s">
        <v>64</v>
      </c>
      <c r="F63" s="3" t="s">
        <v>65</v>
      </c>
      <c r="G63" s="3" t="s">
        <v>115</v>
      </c>
      <c r="H63" s="3" t="s">
        <v>115</v>
      </c>
      <c r="I63" s="3" t="s">
        <v>4</v>
      </c>
      <c r="J63" s="3" t="s">
        <v>58</v>
      </c>
      <c r="K63" s="4" t="s">
        <v>14</v>
      </c>
      <c r="L63" s="5"/>
      <c r="M63" s="6"/>
      <c r="N63" s="4" t="s">
        <v>13</v>
      </c>
      <c r="O63" s="6"/>
      <c r="P63" s="3" t="s">
        <v>109</v>
      </c>
      <c r="Q63" s="6" t="s">
        <v>332</v>
      </c>
      <c r="R63" s="5"/>
      <c r="S63" s="6"/>
      <c r="T63" s="4" t="s">
        <v>13</v>
      </c>
      <c r="U63" s="6"/>
      <c r="V63" s="4" t="s">
        <v>14</v>
      </c>
      <c r="W63" s="6"/>
      <c r="X63" s="4" t="s">
        <v>12</v>
      </c>
      <c r="Y63" s="6" t="s">
        <v>333</v>
      </c>
      <c r="Z63" s="4" t="s">
        <v>14</v>
      </c>
      <c r="AA63" s="6" t="s">
        <v>334</v>
      </c>
      <c r="AB63" s="6" t="s">
        <v>335</v>
      </c>
      <c r="AC63" s="6" t="s">
        <v>336</v>
      </c>
    </row>
    <row r="64" spans="1:29" ht="52" x14ac:dyDescent="0.35">
      <c r="A64" s="2">
        <v>987</v>
      </c>
      <c r="B64" s="3" t="s">
        <v>51</v>
      </c>
      <c r="C64" s="3" t="s">
        <v>52</v>
      </c>
      <c r="D64" s="3" t="s">
        <v>53</v>
      </c>
      <c r="E64" s="3" t="s">
        <v>64</v>
      </c>
      <c r="F64" s="3" t="s">
        <v>65</v>
      </c>
      <c r="G64" s="3" t="s">
        <v>115</v>
      </c>
      <c r="H64" s="3" t="s">
        <v>115</v>
      </c>
      <c r="I64" s="3" t="s">
        <v>57</v>
      </c>
      <c r="J64" s="3" t="s">
        <v>58</v>
      </c>
      <c r="K64" s="4" t="s">
        <v>15</v>
      </c>
      <c r="L64" s="4" t="s">
        <v>59</v>
      </c>
      <c r="M64" s="6"/>
      <c r="N64" s="4" t="s">
        <v>15</v>
      </c>
      <c r="O64" s="6"/>
      <c r="P64" s="7"/>
      <c r="Q64" s="6"/>
      <c r="R64" s="5"/>
      <c r="S64" s="6"/>
      <c r="T64" s="4" t="s">
        <v>59</v>
      </c>
      <c r="U64" s="6"/>
      <c r="V64" s="4" t="s">
        <v>15</v>
      </c>
      <c r="W64" s="6"/>
      <c r="X64" s="4" t="s">
        <v>15</v>
      </c>
      <c r="Y64" s="6"/>
      <c r="Z64" s="4" t="s">
        <v>16</v>
      </c>
      <c r="AA64" s="6" t="s">
        <v>337</v>
      </c>
      <c r="AB64" s="6" t="s">
        <v>338</v>
      </c>
      <c r="AC64" s="6" t="s">
        <v>339</v>
      </c>
    </row>
    <row r="65" spans="1:29" ht="39" hidden="1" x14ac:dyDescent="0.35">
      <c r="A65" s="2">
        <v>998</v>
      </c>
      <c r="B65" s="3" t="s">
        <v>108</v>
      </c>
      <c r="C65" s="3" t="s">
        <v>340</v>
      </c>
      <c r="D65" s="3" t="s">
        <v>86</v>
      </c>
      <c r="E65" s="3" t="s">
        <v>64</v>
      </c>
      <c r="F65" s="3" t="s">
        <v>65</v>
      </c>
      <c r="G65" s="3" t="s">
        <v>66</v>
      </c>
      <c r="H65" s="3" t="s">
        <v>67</v>
      </c>
      <c r="I65" s="3" t="s">
        <v>57</v>
      </c>
      <c r="J65" s="3" t="s">
        <v>58</v>
      </c>
      <c r="K65" s="4" t="s">
        <v>14</v>
      </c>
      <c r="L65" s="4" t="s">
        <v>14</v>
      </c>
      <c r="M65" s="6"/>
      <c r="N65" s="5"/>
      <c r="O65" s="6"/>
      <c r="P65" s="7"/>
      <c r="Q65" s="6"/>
      <c r="R65" s="5"/>
      <c r="S65" s="6"/>
      <c r="T65" s="5"/>
      <c r="U65" s="6"/>
      <c r="V65" s="5"/>
      <c r="W65" s="6"/>
      <c r="X65" s="4" t="s">
        <v>72</v>
      </c>
      <c r="Y65" s="6"/>
      <c r="Z65" s="4" t="s">
        <v>15</v>
      </c>
      <c r="AA65" s="6" t="s">
        <v>341</v>
      </c>
      <c r="AB65" s="6" t="s">
        <v>342</v>
      </c>
      <c r="AC65" s="6" t="s">
        <v>343</v>
      </c>
    </row>
    <row r="66" spans="1:29" ht="39" x14ac:dyDescent="0.35">
      <c r="A66" s="2">
        <v>1208</v>
      </c>
      <c r="B66" s="3" t="s">
        <v>51</v>
      </c>
      <c r="C66" s="3" t="s">
        <v>52</v>
      </c>
      <c r="D66" s="3" t="s">
        <v>86</v>
      </c>
      <c r="E66" s="3" t="s">
        <v>87</v>
      </c>
      <c r="F66" s="3" t="s">
        <v>77</v>
      </c>
      <c r="G66" s="3" t="s">
        <v>103</v>
      </c>
      <c r="H66" s="3" t="s">
        <v>104</v>
      </c>
      <c r="I66" s="3" t="s">
        <v>2</v>
      </c>
      <c r="J66" s="3" t="s">
        <v>88</v>
      </c>
      <c r="K66" s="4" t="s">
        <v>13</v>
      </c>
      <c r="L66" s="5"/>
      <c r="M66" s="6"/>
      <c r="N66" s="4" t="s">
        <v>15</v>
      </c>
      <c r="O66" s="6"/>
      <c r="P66" s="3" t="s">
        <v>109</v>
      </c>
      <c r="Q66" s="6" t="s">
        <v>344</v>
      </c>
      <c r="R66" s="4" t="s">
        <v>13</v>
      </c>
      <c r="S66" s="6"/>
      <c r="T66" s="4" t="s">
        <v>14</v>
      </c>
      <c r="U66" s="6"/>
      <c r="V66" s="5"/>
      <c r="W66" s="6"/>
      <c r="X66" s="4" t="s">
        <v>13</v>
      </c>
      <c r="Y66" s="6"/>
      <c r="Z66" s="4" t="s">
        <v>14</v>
      </c>
      <c r="AA66" s="6" t="s">
        <v>345</v>
      </c>
      <c r="AB66" s="6" t="s">
        <v>346</v>
      </c>
      <c r="AC66" s="6" t="s">
        <v>347</v>
      </c>
    </row>
    <row r="67" spans="1:29" ht="39" x14ac:dyDescent="0.35">
      <c r="A67" s="2">
        <v>1004</v>
      </c>
      <c r="B67" s="3" t="s">
        <v>51</v>
      </c>
      <c r="C67" s="3" t="s">
        <v>52</v>
      </c>
      <c r="D67" s="3" t="s">
        <v>53</v>
      </c>
      <c r="E67" s="3" t="s">
        <v>87</v>
      </c>
      <c r="F67" s="3" t="s">
        <v>77</v>
      </c>
      <c r="G67" s="3" t="s">
        <v>103</v>
      </c>
      <c r="H67" s="3" t="s">
        <v>104</v>
      </c>
      <c r="I67" s="3" t="s">
        <v>57</v>
      </c>
      <c r="J67" s="3" t="s">
        <v>58</v>
      </c>
      <c r="K67" s="4" t="s">
        <v>13</v>
      </c>
      <c r="L67" s="4" t="s">
        <v>59</v>
      </c>
      <c r="M67" s="6"/>
      <c r="N67" s="4" t="s">
        <v>14</v>
      </c>
      <c r="O67" s="6"/>
      <c r="P67" s="3" t="s">
        <v>69</v>
      </c>
      <c r="Q67" s="6" t="s">
        <v>348</v>
      </c>
      <c r="R67" s="5"/>
      <c r="S67" s="6"/>
      <c r="T67" s="5"/>
      <c r="U67" s="6"/>
      <c r="V67" s="5"/>
      <c r="W67" s="6"/>
      <c r="X67" s="4" t="s">
        <v>59</v>
      </c>
      <c r="Y67" s="6"/>
      <c r="Z67" s="4" t="s">
        <v>11</v>
      </c>
      <c r="AA67" s="6" t="s">
        <v>349</v>
      </c>
      <c r="AB67" s="6" t="s">
        <v>350</v>
      </c>
      <c r="AC67" s="6" t="s">
        <v>351</v>
      </c>
    </row>
    <row r="68" spans="1:29" ht="39" x14ac:dyDescent="0.35">
      <c r="A68" s="2">
        <v>1214</v>
      </c>
      <c r="B68" s="3" t="s">
        <v>51</v>
      </c>
      <c r="C68" s="3" t="s">
        <v>52</v>
      </c>
      <c r="D68" s="3" t="s">
        <v>53</v>
      </c>
      <c r="E68" s="3" t="s">
        <v>64</v>
      </c>
      <c r="F68" s="3" t="s">
        <v>65</v>
      </c>
      <c r="G68" s="3" t="s">
        <v>115</v>
      </c>
      <c r="H68" s="3" t="s">
        <v>115</v>
      </c>
      <c r="I68" s="3" t="s">
        <v>2</v>
      </c>
      <c r="J68" s="3" t="s">
        <v>58</v>
      </c>
      <c r="K68" s="4" t="s">
        <v>9</v>
      </c>
      <c r="L68" s="5"/>
      <c r="M68" s="6"/>
      <c r="N68" s="4" t="s">
        <v>14</v>
      </c>
      <c r="O68" s="6"/>
      <c r="P68" s="3" t="s">
        <v>109</v>
      </c>
      <c r="Q68" s="6" t="s">
        <v>352</v>
      </c>
      <c r="R68" s="5"/>
      <c r="S68" s="6"/>
      <c r="T68" s="5"/>
      <c r="U68" s="6"/>
      <c r="V68" s="4" t="s">
        <v>8</v>
      </c>
      <c r="W68" s="6" t="s">
        <v>353</v>
      </c>
      <c r="X68" s="4" t="s">
        <v>15</v>
      </c>
      <c r="Y68" s="6"/>
      <c r="Z68" s="4" t="s">
        <v>14</v>
      </c>
      <c r="AA68" s="6" t="s">
        <v>354</v>
      </c>
      <c r="AB68" s="6" t="s">
        <v>355</v>
      </c>
      <c r="AC68" s="6" t="s">
        <v>356</v>
      </c>
    </row>
    <row r="69" spans="1:29" hidden="1" x14ac:dyDescent="0.35">
      <c r="A69" s="2">
        <v>1008</v>
      </c>
      <c r="B69" s="3" t="s">
        <v>108</v>
      </c>
      <c r="C69" s="3" t="s">
        <v>52</v>
      </c>
      <c r="D69" s="3" t="s">
        <v>86</v>
      </c>
      <c r="E69" s="3" t="s">
        <v>87</v>
      </c>
      <c r="F69" s="3" t="s">
        <v>77</v>
      </c>
      <c r="G69" s="3" t="s">
        <v>103</v>
      </c>
      <c r="H69" s="3" t="s">
        <v>104</v>
      </c>
      <c r="I69" s="3" t="s">
        <v>57</v>
      </c>
      <c r="J69" s="3" t="s">
        <v>58</v>
      </c>
      <c r="K69" s="4" t="s">
        <v>13</v>
      </c>
      <c r="L69" s="5"/>
      <c r="M69" s="6"/>
      <c r="N69" s="5"/>
      <c r="O69" s="6"/>
      <c r="P69" s="7"/>
      <c r="Q69" s="6"/>
      <c r="R69" s="5"/>
      <c r="S69" s="6"/>
      <c r="T69" s="4" t="s">
        <v>13</v>
      </c>
      <c r="U69" s="6"/>
      <c r="V69" s="5"/>
      <c r="W69" s="6"/>
      <c r="X69" s="4" t="s">
        <v>14</v>
      </c>
      <c r="Y69" s="6"/>
      <c r="Z69" s="4" t="s">
        <v>15</v>
      </c>
      <c r="AA69" s="6" t="s">
        <v>357</v>
      </c>
      <c r="AB69" s="6" t="s">
        <v>358</v>
      </c>
      <c r="AC69" s="6" t="s">
        <v>359</v>
      </c>
    </row>
    <row r="70" spans="1:29" ht="26" hidden="1" x14ac:dyDescent="0.35">
      <c r="A70" s="2">
        <v>1009</v>
      </c>
      <c r="B70" s="3" t="s">
        <v>108</v>
      </c>
      <c r="C70" s="3" t="s">
        <v>52</v>
      </c>
      <c r="D70" s="3" t="s">
        <v>53</v>
      </c>
      <c r="E70" s="3" t="s">
        <v>191</v>
      </c>
      <c r="F70" s="3" t="s">
        <v>97</v>
      </c>
      <c r="G70" s="3" t="s">
        <v>78</v>
      </c>
      <c r="H70" s="3" t="s">
        <v>78</v>
      </c>
      <c r="I70" s="3" t="s">
        <v>4</v>
      </c>
      <c r="J70" s="3" t="s">
        <v>58</v>
      </c>
      <c r="K70" s="4" t="s">
        <v>15</v>
      </c>
      <c r="L70" s="4" t="s">
        <v>59</v>
      </c>
      <c r="M70" s="6"/>
      <c r="N70" s="4" t="s">
        <v>14</v>
      </c>
      <c r="O70" s="6"/>
      <c r="P70" s="7"/>
      <c r="Q70" s="6"/>
      <c r="R70" s="4" t="s">
        <v>9</v>
      </c>
      <c r="S70" s="6" t="s">
        <v>360</v>
      </c>
      <c r="T70" s="4" t="s">
        <v>14</v>
      </c>
      <c r="U70" s="6"/>
      <c r="V70" s="4" t="s">
        <v>14</v>
      </c>
      <c r="W70" s="6"/>
      <c r="X70" s="4" t="s">
        <v>14</v>
      </c>
      <c r="Y70" s="6"/>
      <c r="Z70" s="4" t="s">
        <v>15</v>
      </c>
      <c r="AA70" s="6" t="s">
        <v>361</v>
      </c>
      <c r="AB70" s="6" t="s">
        <v>362</v>
      </c>
      <c r="AC70" s="6" t="s">
        <v>363</v>
      </c>
    </row>
    <row r="71" spans="1:29" ht="78" hidden="1" x14ac:dyDescent="0.35">
      <c r="A71" s="2">
        <v>1319</v>
      </c>
      <c r="B71" s="3" t="s">
        <v>108</v>
      </c>
      <c r="C71" s="3" t="s">
        <v>75</v>
      </c>
      <c r="D71" s="3" t="s">
        <v>86</v>
      </c>
      <c r="E71" s="3" t="s">
        <v>76</v>
      </c>
      <c r="F71" s="3" t="s">
        <v>77</v>
      </c>
      <c r="G71" s="3" t="s">
        <v>78</v>
      </c>
      <c r="H71" s="3" t="s">
        <v>78</v>
      </c>
      <c r="I71" s="3" t="s">
        <v>2</v>
      </c>
      <c r="J71" s="3" t="s">
        <v>58</v>
      </c>
      <c r="K71" s="4" t="s">
        <v>14</v>
      </c>
      <c r="L71" s="5"/>
      <c r="M71" s="6"/>
      <c r="N71" s="4" t="s">
        <v>14</v>
      </c>
      <c r="O71" s="6"/>
      <c r="P71" s="7"/>
      <c r="Q71" s="6"/>
      <c r="R71" s="5"/>
      <c r="S71" s="6"/>
      <c r="T71" s="4" t="s">
        <v>15</v>
      </c>
      <c r="U71" s="6"/>
      <c r="V71" s="5"/>
      <c r="W71" s="6"/>
      <c r="X71" s="4" t="s">
        <v>14</v>
      </c>
      <c r="Y71" s="6"/>
      <c r="Z71" s="4" t="s">
        <v>14</v>
      </c>
      <c r="AA71" s="6" t="s">
        <v>364</v>
      </c>
      <c r="AB71" s="6" t="s">
        <v>365</v>
      </c>
      <c r="AC71" s="6" t="s">
        <v>366</v>
      </c>
    </row>
    <row r="72" spans="1:29" ht="78" hidden="1" x14ac:dyDescent="0.35">
      <c r="A72" s="2">
        <v>1336</v>
      </c>
      <c r="B72" s="3" t="s">
        <v>108</v>
      </c>
      <c r="C72" s="3" t="s">
        <v>75</v>
      </c>
      <c r="D72" s="3" t="s">
        <v>86</v>
      </c>
      <c r="E72" s="3" t="s">
        <v>76</v>
      </c>
      <c r="F72" s="3" t="s">
        <v>77</v>
      </c>
      <c r="G72" s="3" t="s">
        <v>78</v>
      </c>
      <c r="H72" s="3" t="s">
        <v>78</v>
      </c>
      <c r="I72" s="3" t="s">
        <v>2</v>
      </c>
      <c r="J72" s="3" t="s">
        <v>58</v>
      </c>
      <c r="K72" s="4" t="s">
        <v>13</v>
      </c>
      <c r="L72" s="4" t="s">
        <v>15</v>
      </c>
      <c r="M72" s="6"/>
      <c r="N72" s="4" t="s">
        <v>13</v>
      </c>
      <c r="O72" s="6"/>
      <c r="P72" s="7"/>
      <c r="Q72" s="6"/>
      <c r="R72" s="4" t="s">
        <v>12</v>
      </c>
      <c r="S72" s="6" t="s">
        <v>367</v>
      </c>
      <c r="T72" s="4" t="s">
        <v>13</v>
      </c>
      <c r="U72" s="6"/>
      <c r="V72" s="4" t="s">
        <v>13</v>
      </c>
      <c r="W72" s="6"/>
      <c r="X72" s="4" t="s">
        <v>13</v>
      </c>
      <c r="Y72" s="6"/>
      <c r="Z72" s="4" t="s">
        <v>14</v>
      </c>
      <c r="AA72" s="6" t="s">
        <v>368</v>
      </c>
      <c r="AB72" s="6" t="s">
        <v>369</v>
      </c>
      <c r="AC72" s="6" t="s">
        <v>370</v>
      </c>
    </row>
    <row r="73" spans="1:29" ht="52" hidden="1" x14ac:dyDescent="0.35">
      <c r="A73" s="2">
        <v>810</v>
      </c>
      <c r="B73" s="3" t="s">
        <v>108</v>
      </c>
      <c r="C73" s="3" t="s">
        <v>75</v>
      </c>
      <c r="D73" s="3" t="s">
        <v>53</v>
      </c>
      <c r="E73" s="3" t="s">
        <v>202</v>
      </c>
      <c r="F73" s="3" t="s">
        <v>65</v>
      </c>
      <c r="G73" s="3" t="s">
        <v>226</v>
      </c>
      <c r="H73" s="3" t="s">
        <v>226</v>
      </c>
      <c r="I73" s="3" t="s">
        <v>2</v>
      </c>
      <c r="J73" s="3" t="s">
        <v>58</v>
      </c>
      <c r="K73" s="4" t="s">
        <v>11</v>
      </c>
      <c r="L73" s="5"/>
      <c r="M73" s="6"/>
      <c r="N73" s="5"/>
      <c r="O73" s="6"/>
      <c r="P73" s="7"/>
      <c r="Q73" s="6"/>
      <c r="R73" s="4" t="s">
        <v>14</v>
      </c>
      <c r="S73" s="6"/>
      <c r="T73" s="5"/>
      <c r="U73" s="6"/>
      <c r="V73" s="4" t="s">
        <v>13</v>
      </c>
      <c r="W73" s="6"/>
      <c r="X73" s="4" t="s">
        <v>15</v>
      </c>
      <c r="Y73" s="6"/>
      <c r="Z73" s="4" t="s">
        <v>13</v>
      </c>
      <c r="AA73" s="6" t="s">
        <v>371</v>
      </c>
      <c r="AB73" s="6"/>
      <c r="AC73" s="6" t="s">
        <v>372</v>
      </c>
    </row>
    <row r="74" spans="1:29" ht="78" x14ac:dyDescent="0.35">
      <c r="A74" s="2">
        <v>851</v>
      </c>
      <c r="B74" s="3" t="s">
        <v>51</v>
      </c>
      <c r="C74" s="3" t="s">
        <v>75</v>
      </c>
      <c r="D74" s="3" t="s">
        <v>86</v>
      </c>
      <c r="E74" s="3" t="s">
        <v>76</v>
      </c>
      <c r="F74" s="3" t="s">
        <v>77</v>
      </c>
      <c r="G74" s="3" t="s">
        <v>78</v>
      </c>
      <c r="H74" s="3" t="s">
        <v>78</v>
      </c>
      <c r="I74" s="3" t="s">
        <v>2</v>
      </c>
      <c r="J74" s="3" t="s">
        <v>58</v>
      </c>
      <c r="K74" s="4" t="s">
        <v>12</v>
      </c>
      <c r="L74" s="5"/>
      <c r="M74" s="6"/>
      <c r="N74" s="5"/>
      <c r="O74" s="6"/>
      <c r="P74" s="7"/>
      <c r="Q74" s="6"/>
      <c r="R74" s="5"/>
      <c r="S74" s="6"/>
      <c r="T74" s="5"/>
      <c r="U74" s="6"/>
      <c r="V74" s="5"/>
      <c r="W74" s="6"/>
      <c r="X74" s="4" t="s">
        <v>72</v>
      </c>
      <c r="Y74" s="6"/>
      <c r="Z74" s="4" t="s">
        <v>13</v>
      </c>
      <c r="AA74" s="6" t="s">
        <v>373</v>
      </c>
      <c r="AB74" s="6" t="s">
        <v>374</v>
      </c>
      <c r="AC74" s="6" t="s">
        <v>375</v>
      </c>
    </row>
    <row r="75" spans="1:29" ht="26" x14ac:dyDescent="0.35">
      <c r="A75" s="2">
        <v>858</v>
      </c>
      <c r="B75" s="3" t="s">
        <v>51</v>
      </c>
      <c r="C75" s="3" t="s">
        <v>52</v>
      </c>
      <c r="D75" s="3" t="s">
        <v>53</v>
      </c>
      <c r="E75" s="3" t="s">
        <v>87</v>
      </c>
      <c r="F75" s="3" t="s">
        <v>77</v>
      </c>
      <c r="G75" s="3" t="s">
        <v>103</v>
      </c>
      <c r="H75" s="3" t="s">
        <v>104</v>
      </c>
      <c r="I75" s="3" t="s">
        <v>2</v>
      </c>
      <c r="J75" s="3" t="s">
        <v>88</v>
      </c>
      <c r="K75" s="4" t="s">
        <v>13</v>
      </c>
      <c r="L75" s="5"/>
      <c r="M75" s="6"/>
      <c r="N75" s="4" t="s">
        <v>13</v>
      </c>
      <c r="O75" s="6"/>
      <c r="P75" s="3" t="s">
        <v>109</v>
      </c>
      <c r="Q75" s="6" t="s">
        <v>376</v>
      </c>
      <c r="R75" s="4" t="s">
        <v>14</v>
      </c>
      <c r="S75" s="6"/>
      <c r="T75" s="4" t="s">
        <v>13</v>
      </c>
      <c r="U75" s="6"/>
      <c r="V75" s="4" t="s">
        <v>12</v>
      </c>
      <c r="W75" s="6" t="s">
        <v>377</v>
      </c>
      <c r="X75" s="4" t="s">
        <v>14</v>
      </c>
      <c r="Y75" s="6"/>
      <c r="Z75" s="4" t="s">
        <v>13</v>
      </c>
      <c r="AA75" s="6" t="s">
        <v>378</v>
      </c>
      <c r="AB75" s="6" t="s">
        <v>379</v>
      </c>
      <c r="AC75" s="6" t="s">
        <v>380</v>
      </c>
    </row>
    <row r="76" spans="1:29" ht="91" x14ac:dyDescent="0.35">
      <c r="A76" s="2">
        <v>1028</v>
      </c>
      <c r="B76" s="3" t="s">
        <v>51</v>
      </c>
      <c r="C76" s="3" t="s">
        <v>52</v>
      </c>
      <c r="D76" s="3" t="s">
        <v>53</v>
      </c>
      <c r="E76" s="3" t="s">
        <v>64</v>
      </c>
      <c r="F76" s="3" t="s">
        <v>65</v>
      </c>
      <c r="G76" s="3" t="s">
        <v>115</v>
      </c>
      <c r="H76" s="3" t="s">
        <v>115</v>
      </c>
      <c r="I76" s="3" t="s">
        <v>4</v>
      </c>
      <c r="J76" s="3" t="s">
        <v>58</v>
      </c>
      <c r="K76" s="4" t="s">
        <v>13</v>
      </c>
      <c r="L76" s="5"/>
      <c r="M76" s="6"/>
      <c r="N76" s="4" t="s">
        <v>13</v>
      </c>
      <c r="O76" s="6"/>
      <c r="P76" s="7"/>
      <c r="Q76" s="6"/>
      <c r="R76" s="4" t="s">
        <v>59</v>
      </c>
      <c r="S76" s="6"/>
      <c r="T76" s="4" t="s">
        <v>13</v>
      </c>
      <c r="U76" s="6"/>
      <c r="V76" s="4" t="s">
        <v>13</v>
      </c>
      <c r="W76" s="6"/>
      <c r="X76" s="4" t="s">
        <v>14</v>
      </c>
      <c r="Y76" s="6"/>
      <c r="Z76" s="4" t="s">
        <v>15</v>
      </c>
      <c r="AA76" s="6" t="s">
        <v>381</v>
      </c>
      <c r="AB76" s="6" t="s">
        <v>382</v>
      </c>
      <c r="AC76" s="6" t="s">
        <v>383</v>
      </c>
    </row>
    <row r="77" spans="1:29" ht="26" x14ac:dyDescent="0.35">
      <c r="A77" s="2">
        <v>885</v>
      </c>
      <c r="B77" s="3" t="s">
        <v>51</v>
      </c>
      <c r="C77" s="3" t="s">
        <v>75</v>
      </c>
      <c r="D77" s="3" t="s">
        <v>53</v>
      </c>
      <c r="E77" s="3" t="s">
        <v>76</v>
      </c>
      <c r="F77" s="3" t="s">
        <v>77</v>
      </c>
      <c r="G77" s="3" t="s">
        <v>78</v>
      </c>
      <c r="H77" s="3" t="s">
        <v>78</v>
      </c>
      <c r="I77" s="3" t="s">
        <v>2</v>
      </c>
      <c r="J77" s="3" t="s">
        <v>58</v>
      </c>
      <c r="K77" s="4" t="s">
        <v>13</v>
      </c>
      <c r="L77" s="5"/>
      <c r="M77" s="6"/>
      <c r="N77" s="4" t="s">
        <v>12</v>
      </c>
      <c r="O77" s="6" t="s">
        <v>384</v>
      </c>
      <c r="P77" s="7"/>
      <c r="Q77" s="6"/>
      <c r="R77" s="4" t="s">
        <v>13</v>
      </c>
      <c r="S77" s="6"/>
      <c r="T77" s="5"/>
      <c r="U77" s="6"/>
      <c r="V77" s="4" t="s">
        <v>13</v>
      </c>
      <c r="W77" s="6"/>
      <c r="X77" s="4" t="s">
        <v>11</v>
      </c>
      <c r="Y77" s="6" t="s">
        <v>385</v>
      </c>
      <c r="Z77" s="4" t="s">
        <v>13</v>
      </c>
      <c r="AA77" s="6" t="s">
        <v>386</v>
      </c>
      <c r="AB77" s="6" t="s">
        <v>387</v>
      </c>
      <c r="AC77" s="6" t="s">
        <v>388</v>
      </c>
    </row>
    <row r="78" spans="1:29" ht="39" x14ac:dyDescent="0.35">
      <c r="A78" s="2">
        <v>1032</v>
      </c>
      <c r="B78" s="3" t="s">
        <v>51</v>
      </c>
      <c r="C78" s="3" t="s">
        <v>52</v>
      </c>
      <c r="D78" s="3" t="s">
        <v>53</v>
      </c>
      <c r="E78" s="3" t="s">
        <v>191</v>
      </c>
      <c r="F78" s="3" t="s">
        <v>97</v>
      </c>
      <c r="G78" s="3" t="s">
        <v>78</v>
      </c>
      <c r="H78" s="3" t="s">
        <v>78</v>
      </c>
      <c r="I78" s="3" t="s">
        <v>57</v>
      </c>
      <c r="J78" s="3" t="s">
        <v>58</v>
      </c>
      <c r="K78" s="4" t="s">
        <v>14</v>
      </c>
      <c r="L78" s="4" t="s">
        <v>59</v>
      </c>
      <c r="M78" s="6"/>
      <c r="N78" s="4" t="s">
        <v>14</v>
      </c>
      <c r="O78" s="6"/>
      <c r="P78" s="7"/>
      <c r="Q78" s="6"/>
      <c r="R78" s="5"/>
      <c r="S78" s="6"/>
      <c r="T78" s="4" t="s">
        <v>14</v>
      </c>
      <c r="U78" s="6"/>
      <c r="V78" s="4" t="s">
        <v>14</v>
      </c>
      <c r="W78" s="6"/>
      <c r="X78" s="4" t="s">
        <v>59</v>
      </c>
      <c r="Y78" s="6"/>
      <c r="Z78" s="4" t="s">
        <v>16</v>
      </c>
      <c r="AA78" s="6" t="s">
        <v>389</v>
      </c>
      <c r="AB78" s="6" t="s">
        <v>390</v>
      </c>
      <c r="AC78" s="6" t="s">
        <v>391</v>
      </c>
    </row>
    <row r="79" spans="1:29" ht="39" hidden="1" x14ac:dyDescent="0.35">
      <c r="A79" s="2">
        <v>1033</v>
      </c>
      <c r="B79" s="3" t="s">
        <v>108</v>
      </c>
      <c r="C79" s="3" t="s">
        <v>52</v>
      </c>
      <c r="D79" s="3" t="s">
        <v>86</v>
      </c>
      <c r="E79" s="3" t="s">
        <v>54</v>
      </c>
      <c r="F79" s="3" t="s">
        <v>55</v>
      </c>
      <c r="G79" s="3" t="s">
        <v>56</v>
      </c>
      <c r="H79" s="3" t="s">
        <v>56</v>
      </c>
      <c r="I79" s="3" t="s">
        <v>57</v>
      </c>
      <c r="J79" s="3" t="s">
        <v>58</v>
      </c>
      <c r="K79" s="4" t="s">
        <v>128</v>
      </c>
      <c r="L79" s="5"/>
      <c r="M79" s="6"/>
      <c r="N79" s="5"/>
      <c r="O79" s="6"/>
      <c r="P79" s="7"/>
      <c r="Q79" s="6"/>
      <c r="R79" s="5"/>
      <c r="S79" s="6"/>
      <c r="T79" s="5"/>
      <c r="U79" s="6"/>
      <c r="V79" s="5"/>
      <c r="W79" s="6"/>
      <c r="X79" s="4" t="s">
        <v>11</v>
      </c>
      <c r="Y79" s="6" t="s">
        <v>392</v>
      </c>
      <c r="Z79" s="4" t="s">
        <v>7</v>
      </c>
      <c r="AA79" s="6" t="s">
        <v>393</v>
      </c>
      <c r="AB79" s="6"/>
      <c r="AC79" s="6" t="s">
        <v>394</v>
      </c>
    </row>
    <row r="80" spans="1:29" ht="26" hidden="1" x14ac:dyDescent="0.35">
      <c r="A80" s="2">
        <v>1036</v>
      </c>
      <c r="B80" s="3" t="s">
        <v>108</v>
      </c>
      <c r="C80" s="3" t="s">
        <v>52</v>
      </c>
      <c r="D80" s="3" t="s">
        <v>53</v>
      </c>
      <c r="E80" s="3" t="s">
        <v>54</v>
      </c>
      <c r="F80" s="3" t="s">
        <v>55</v>
      </c>
      <c r="G80" s="3" t="s">
        <v>56</v>
      </c>
      <c r="H80" s="3" t="s">
        <v>56</v>
      </c>
      <c r="I80" s="3" t="s">
        <v>127</v>
      </c>
      <c r="J80" s="3" t="s">
        <v>58</v>
      </c>
      <c r="K80" s="4" t="s">
        <v>11</v>
      </c>
      <c r="L80" s="5"/>
      <c r="M80" s="6"/>
      <c r="N80" s="4" t="s">
        <v>13</v>
      </c>
      <c r="O80" s="6"/>
      <c r="P80" s="3" t="s">
        <v>109</v>
      </c>
      <c r="Q80" s="6" t="s">
        <v>395</v>
      </c>
      <c r="R80" s="4" t="s">
        <v>13</v>
      </c>
      <c r="S80" s="6"/>
      <c r="T80" s="4" t="s">
        <v>14</v>
      </c>
      <c r="U80" s="6"/>
      <c r="V80" s="4" t="s">
        <v>13</v>
      </c>
      <c r="W80" s="6"/>
      <c r="X80" s="4" t="s">
        <v>15</v>
      </c>
      <c r="Y80" s="6"/>
      <c r="Z80" s="4" t="s">
        <v>10</v>
      </c>
      <c r="AA80" s="6" t="s">
        <v>396</v>
      </c>
      <c r="AB80" s="6" t="s">
        <v>397</v>
      </c>
      <c r="AC80" s="6" t="s">
        <v>398</v>
      </c>
    </row>
    <row r="81" spans="1:29" ht="39" x14ac:dyDescent="0.35">
      <c r="A81" s="2">
        <v>1037</v>
      </c>
      <c r="B81" s="3" t="s">
        <v>51</v>
      </c>
      <c r="C81" s="3" t="s">
        <v>52</v>
      </c>
      <c r="D81" s="3" t="s">
        <v>53</v>
      </c>
      <c r="E81" s="3" t="s">
        <v>64</v>
      </c>
      <c r="F81" s="3" t="s">
        <v>65</v>
      </c>
      <c r="G81" s="3" t="s">
        <v>66</v>
      </c>
      <c r="H81" s="3" t="s">
        <v>67</v>
      </c>
      <c r="I81" s="3" t="s">
        <v>127</v>
      </c>
      <c r="J81" s="3" t="s">
        <v>58</v>
      </c>
      <c r="K81" s="4" t="s">
        <v>8</v>
      </c>
      <c r="L81" s="4" t="s">
        <v>13</v>
      </c>
      <c r="M81" s="6"/>
      <c r="N81" s="4" t="s">
        <v>9</v>
      </c>
      <c r="O81" s="6" t="s">
        <v>399</v>
      </c>
      <c r="P81" s="3" t="s">
        <v>69</v>
      </c>
      <c r="Q81" s="6" t="s">
        <v>400</v>
      </c>
      <c r="R81" s="5"/>
      <c r="S81" s="6"/>
      <c r="T81" s="4" t="s">
        <v>13</v>
      </c>
      <c r="U81" s="6"/>
      <c r="V81" s="4" t="s">
        <v>11</v>
      </c>
      <c r="W81" s="6" t="s">
        <v>401</v>
      </c>
      <c r="X81" s="4" t="s">
        <v>14</v>
      </c>
      <c r="Y81" s="6"/>
      <c r="Z81" s="4" t="s">
        <v>7</v>
      </c>
      <c r="AA81" s="6" t="s">
        <v>402</v>
      </c>
      <c r="AB81" s="6" t="s">
        <v>403</v>
      </c>
      <c r="AC81" s="6" t="s">
        <v>404</v>
      </c>
    </row>
    <row r="82" spans="1:29" ht="39" hidden="1" x14ac:dyDescent="0.35">
      <c r="A82" s="2">
        <v>1054</v>
      </c>
      <c r="B82" s="3" t="s">
        <v>108</v>
      </c>
      <c r="C82" s="3" t="s">
        <v>52</v>
      </c>
      <c r="D82" s="3" t="s">
        <v>86</v>
      </c>
      <c r="E82" s="3" t="s">
        <v>64</v>
      </c>
      <c r="F82" s="3" t="s">
        <v>65</v>
      </c>
      <c r="G82" s="3" t="s">
        <v>115</v>
      </c>
      <c r="H82" s="3" t="s">
        <v>115</v>
      </c>
      <c r="I82" s="3" t="s">
        <v>57</v>
      </c>
      <c r="J82" s="3" t="s">
        <v>58</v>
      </c>
      <c r="K82" s="4" t="s">
        <v>14</v>
      </c>
      <c r="L82" s="4" t="s">
        <v>59</v>
      </c>
      <c r="M82" s="6"/>
      <c r="N82" s="5"/>
      <c r="O82" s="6"/>
      <c r="P82" s="7"/>
      <c r="Q82" s="6"/>
      <c r="R82" s="4" t="s">
        <v>13</v>
      </c>
      <c r="S82" s="6"/>
      <c r="T82" s="5"/>
      <c r="U82" s="6"/>
      <c r="V82" s="4" t="s">
        <v>14</v>
      </c>
      <c r="W82" s="6"/>
      <c r="X82" s="4" t="s">
        <v>14</v>
      </c>
      <c r="Y82" s="6"/>
      <c r="Z82" s="4" t="s">
        <v>14</v>
      </c>
      <c r="AA82" s="6" t="s">
        <v>405</v>
      </c>
      <c r="AB82" s="6" t="s">
        <v>406</v>
      </c>
      <c r="AC82" s="6" t="s">
        <v>407</v>
      </c>
    </row>
    <row r="83" spans="1:29" ht="52" x14ac:dyDescent="0.35">
      <c r="A83" s="2">
        <v>929</v>
      </c>
      <c r="B83" s="3" t="s">
        <v>51</v>
      </c>
      <c r="C83" s="3" t="s">
        <v>52</v>
      </c>
      <c r="D83" s="3" t="s">
        <v>53</v>
      </c>
      <c r="E83" s="3" t="s">
        <v>64</v>
      </c>
      <c r="F83" s="3" t="s">
        <v>65</v>
      </c>
      <c r="G83" s="3" t="s">
        <v>66</v>
      </c>
      <c r="H83" s="3" t="s">
        <v>67</v>
      </c>
      <c r="I83" s="3" t="s">
        <v>2</v>
      </c>
      <c r="J83" s="3" t="s">
        <v>58</v>
      </c>
      <c r="K83" s="4" t="s">
        <v>13</v>
      </c>
      <c r="L83" s="4" t="s">
        <v>15</v>
      </c>
      <c r="M83" s="6"/>
      <c r="N83" s="4" t="s">
        <v>13</v>
      </c>
      <c r="O83" s="6"/>
      <c r="P83" s="7"/>
      <c r="Q83" s="6"/>
      <c r="R83" s="5"/>
      <c r="S83" s="6"/>
      <c r="T83" s="4" t="s">
        <v>11</v>
      </c>
      <c r="U83" s="6" t="s">
        <v>408</v>
      </c>
      <c r="V83" s="5"/>
      <c r="W83" s="6"/>
      <c r="X83" s="4" t="s">
        <v>13</v>
      </c>
      <c r="Y83" s="6"/>
      <c r="Z83" s="4" t="s">
        <v>13</v>
      </c>
      <c r="AA83" s="6" t="s">
        <v>409</v>
      </c>
      <c r="AB83" s="6" t="s">
        <v>410</v>
      </c>
      <c r="AC83" s="6" t="s">
        <v>411</v>
      </c>
    </row>
    <row r="84" spans="1:29" ht="39" x14ac:dyDescent="0.35">
      <c r="A84" s="2">
        <v>1058</v>
      </c>
      <c r="B84" s="3" t="s">
        <v>51</v>
      </c>
      <c r="C84" s="3" t="s">
        <v>52</v>
      </c>
      <c r="D84" s="3" t="s">
        <v>86</v>
      </c>
      <c r="E84" s="3" t="s">
        <v>87</v>
      </c>
      <c r="F84" s="3" t="s">
        <v>77</v>
      </c>
      <c r="G84" s="3" t="s">
        <v>103</v>
      </c>
      <c r="H84" s="3" t="s">
        <v>104</v>
      </c>
      <c r="I84" s="3" t="s">
        <v>4</v>
      </c>
      <c r="J84" s="3" t="s">
        <v>58</v>
      </c>
      <c r="K84" s="4" t="s">
        <v>13</v>
      </c>
      <c r="L84" s="4" t="s">
        <v>15</v>
      </c>
      <c r="M84" s="6"/>
      <c r="N84" s="4" t="s">
        <v>14</v>
      </c>
      <c r="O84" s="6"/>
      <c r="P84" s="3" t="s">
        <v>172</v>
      </c>
      <c r="Q84" s="6" t="s">
        <v>412</v>
      </c>
      <c r="R84" s="4" t="s">
        <v>14</v>
      </c>
      <c r="S84" s="6"/>
      <c r="T84" s="4" t="s">
        <v>13</v>
      </c>
      <c r="U84" s="6"/>
      <c r="V84" s="5"/>
      <c r="W84" s="6"/>
      <c r="X84" s="4" t="s">
        <v>14</v>
      </c>
      <c r="Y84" s="6"/>
      <c r="Z84" s="4" t="s">
        <v>15</v>
      </c>
      <c r="AA84" s="6" t="s">
        <v>413</v>
      </c>
      <c r="AB84" s="6" t="s">
        <v>414</v>
      </c>
      <c r="AC84" s="6" t="s">
        <v>415</v>
      </c>
    </row>
    <row r="85" spans="1:29" ht="39" x14ac:dyDescent="0.35">
      <c r="A85" s="2">
        <v>935</v>
      </c>
      <c r="B85" s="3" t="s">
        <v>51</v>
      </c>
      <c r="C85" s="3" t="s">
        <v>75</v>
      </c>
      <c r="D85" s="3" t="s">
        <v>86</v>
      </c>
      <c r="E85" s="3" t="s">
        <v>202</v>
      </c>
      <c r="F85" s="3" t="s">
        <v>65</v>
      </c>
      <c r="G85" s="3" t="s">
        <v>226</v>
      </c>
      <c r="H85" s="3" t="s">
        <v>226</v>
      </c>
      <c r="I85" s="3" t="s">
        <v>2</v>
      </c>
      <c r="J85" s="3" t="s">
        <v>58</v>
      </c>
      <c r="K85" s="4" t="s">
        <v>9</v>
      </c>
      <c r="L85" s="4" t="s">
        <v>59</v>
      </c>
      <c r="M85" s="6"/>
      <c r="N85" s="4" t="s">
        <v>14</v>
      </c>
      <c r="O85" s="6"/>
      <c r="P85" s="7"/>
      <c r="Q85" s="6"/>
      <c r="R85" s="4" t="s">
        <v>9</v>
      </c>
      <c r="S85" s="6" t="s">
        <v>416</v>
      </c>
      <c r="T85" s="4" t="s">
        <v>14</v>
      </c>
      <c r="U85" s="6"/>
      <c r="V85" s="4" t="s">
        <v>13</v>
      </c>
      <c r="W85" s="6"/>
      <c r="X85" s="4" t="s">
        <v>15</v>
      </c>
      <c r="Y85" s="6"/>
      <c r="Z85" s="4" t="s">
        <v>13</v>
      </c>
      <c r="AA85" s="6" t="s">
        <v>417</v>
      </c>
      <c r="AB85" s="6" t="s">
        <v>418</v>
      </c>
      <c r="AC85" s="6" t="s">
        <v>419</v>
      </c>
    </row>
    <row r="86" spans="1:29" ht="39" x14ac:dyDescent="0.35">
      <c r="A86" s="2">
        <v>937</v>
      </c>
      <c r="B86" s="3" t="s">
        <v>51</v>
      </c>
      <c r="C86" s="3" t="s">
        <v>52</v>
      </c>
      <c r="D86" s="3" t="s">
        <v>53</v>
      </c>
      <c r="E86" s="3" t="s">
        <v>64</v>
      </c>
      <c r="F86" s="3" t="s">
        <v>65</v>
      </c>
      <c r="G86" s="3" t="s">
        <v>115</v>
      </c>
      <c r="H86" s="3" t="s">
        <v>115</v>
      </c>
      <c r="I86" s="3" t="s">
        <v>2</v>
      </c>
      <c r="J86" s="3" t="s">
        <v>58</v>
      </c>
      <c r="K86" s="4" t="s">
        <v>12</v>
      </c>
      <c r="L86" s="5"/>
      <c r="M86" s="6"/>
      <c r="N86" s="4" t="s">
        <v>13</v>
      </c>
      <c r="O86" s="6"/>
      <c r="P86" s="7"/>
      <c r="Q86" s="6"/>
      <c r="R86" s="5"/>
      <c r="S86" s="6"/>
      <c r="T86" s="5"/>
      <c r="U86" s="6"/>
      <c r="V86" s="5"/>
      <c r="W86" s="6"/>
      <c r="X86" s="4" t="s">
        <v>14</v>
      </c>
      <c r="Y86" s="6"/>
      <c r="Z86" s="4" t="s">
        <v>13</v>
      </c>
      <c r="AA86" s="6" t="s">
        <v>420</v>
      </c>
      <c r="AB86" s="6" t="s">
        <v>421</v>
      </c>
      <c r="AC86" s="6" t="s">
        <v>422</v>
      </c>
    </row>
    <row r="87" spans="1:29" ht="52" hidden="1" x14ac:dyDescent="0.35">
      <c r="A87" s="2">
        <v>947</v>
      </c>
      <c r="B87" s="3" t="s">
        <v>108</v>
      </c>
      <c r="C87" s="3" t="s">
        <v>75</v>
      </c>
      <c r="D87" s="3" t="s">
        <v>53</v>
      </c>
      <c r="E87" s="3" t="s">
        <v>76</v>
      </c>
      <c r="F87" s="3" t="s">
        <v>77</v>
      </c>
      <c r="G87" s="3" t="s">
        <v>78</v>
      </c>
      <c r="H87" s="3" t="s">
        <v>78</v>
      </c>
      <c r="I87" s="3" t="s">
        <v>2</v>
      </c>
      <c r="J87" s="3" t="s">
        <v>58</v>
      </c>
      <c r="K87" s="4" t="s">
        <v>13</v>
      </c>
      <c r="L87" s="5"/>
      <c r="M87" s="6"/>
      <c r="N87" s="4" t="s">
        <v>15</v>
      </c>
      <c r="O87" s="6"/>
      <c r="P87" s="3" t="s">
        <v>79</v>
      </c>
      <c r="Q87" s="6"/>
      <c r="R87" s="4" t="s">
        <v>14</v>
      </c>
      <c r="S87" s="6"/>
      <c r="T87" s="4" t="s">
        <v>11</v>
      </c>
      <c r="U87" s="6" t="s">
        <v>423</v>
      </c>
      <c r="V87" s="4" t="s">
        <v>13</v>
      </c>
      <c r="W87" s="6"/>
      <c r="X87" s="4" t="s">
        <v>59</v>
      </c>
      <c r="Y87" s="6"/>
      <c r="Z87" s="4" t="s">
        <v>13</v>
      </c>
      <c r="AA87" s="6" t="s">
        <v>424</v>
      </c>
      <c r="AB87" s="6" t="s">
        <v>425</v>
      </c>
      <c r="AC87" s="6" t="s">
        <v>426</v>
      </c>
    </row>
    <row r="88" spans="1:29" ht="52" hidden="1" x14ac:dyDescent="0.35">
      <c r="A88" s="2">
        <v>1016</v>
      </c>
      <c r="B88" s="3" t="s">
        <v>108</v>
      </c>
      <c r="C88" s="3" t="s">
        <v>52</v>
      </c>
      <c r="D88" s="3" t="s">
        <v>86</v>
      </c>
      <c r="E88" s="3" t="s">
        <v>191</v>
      </c>
      <c r="F88" s="3" t="s">
        <v>97</v>
      </c>
      <c r="G88" s="3" t="s">
        <v>78</v>
      </c>
      <c r="H88" s="3" t="s">
        <v>78</v>
      </c>
      <c r="I88" s="3" t="s">
        <v>2</v>
      </c>
      <c r="J88" s="3" t="s">
        <v>58</v>
      </c>
      <c r="K88" s="4" t="s">
        <v>12</v>
      </c>
      <c r="L88" s="4" t="s">
        <v>13</v>
      </c>
      <c r="M88" s="6"/>
      <c r="N88" s="4" t="s">
        <v>11</v>
      </c>
      <c r="O88" s="6" t="s">
        <v>427</v>
      </c>
      <c r="P88" s="3" t="s">
        <v>69</v>
      </c>
      <c r="Q88" s="6" t="s">
        <v>428</v>
      </c>
      <c r="R88" s="4" t="s">
        <v>13</v>
      </c>
      <c r="S88" s="6"/>
      <c r="T88" s="4" t="s">
        <v>15</v>
      </c>
      <c r="U88" s="6"/>
      <c r="V88" s="4" t="s">
        <v>14</v>
      </c>
      <c r="W88" s="6"/>
      <c r="X88" s="4" t="s">
        <v>13</v>
      </c>
      <c r="Y88" s="6"/>
      <c r="Z88" s="4" t="s">
        <v>13</v>
      </c>
      <c r="AA88" s="6" t="s">
        <v>429</v>
      </c>
      <c r="AB88" s="6" t="s">
        <v>430</v>
      </c>
      <c r="AC88" s="6" t="s">
        <v>431</v>
      </c>
    </row>
    <row r="89" spans="1:29" ht="26" x14ac:dyDescent="0.35">
      <c r="A89" s="2">
        <v>1062</v>
      </c>
      <c r="B89" s="3" t="s">
        <v>51</v>
      </c>
      <c r="C89" s="3" t="s">
        <v>52</v>
      </c>
      <c r="D89" s="3" t="s">
        <v>53</v>
      </c>
      <c r="E89" s="3" t="s">
        <v>64</v>
      </c>
      <c r="F89" s="3" t="s">
        <v>65</v>
      </c>
      <c r="G89" s="3" t="s">
        <v>66</v>
      </c>
      <c r="H89" s="3" t="s">
        <v>67</v>
      </c>
      <c r="I89" s="3" t="s">
        <v>2</v>
      </c>
      <c r="J89" s="3" t="s">
        <v>58</v>
      </c>
      <c r="K89" s="4" t="s">
        <v>15</v>
      </c>
      <c r="L89" s="5"/>
      <c r="M89" s="6"/>
      <c r="N89" s="5"/>
      <c r="O89" s="6"/>
      <c r="P89" s="7"/>
      <c r="Q89" s="6"/>
      <c r="R89" s="5"/>
      <c r="S89" s="6"/>
      <c r="T89" s="5"/>
      <c r="U89" s="6"/>
      <c r="V89" s="5"/>
      <c r="W89" s="6"/>
      <c r="X89" s="4" t="s">
        <v>14</v>
      </c>
      <c r="Y89" s="6"/>
      <c r="Z89" s="4" t="s">
        <v>13</v>
      </c>
      <c r="AA89" s="6" t="s">
        <v>432</v>
      </c>
      <c r="AB89" s="6"/>
      <c r="AC89" s="6" t="s">
        <v>433</v>
      </c>
    </row>
    <row r="90" spans="1:29" ht="39" x14ac:dyDescent="0.35">
      <c r="A90" s="2">
        <v>1064</v>
      </c>
      <c r="B90" s="3" t="s">
        <v>51</v>
      </c>
      <c r="C90" s="3" t="s">
        <v>52</v>
      </c>
      <c r="D90" s="3" t="s">
        <v>53</v>
      </c>
      <c r="E90" s="3" t="s">
        <v>64</v>
      </c>
      <c r="F90" s="3" t="s">
        <v>65</v>
      </c>
      <c r="G90" s="3" t="s">
        <v>66</v>
      </c>
      <c r="H90" s="3" t="s">
        <v>67</v>
      </c>
      <c r="I90" s="3" t="s">
        <v>2</v>
      </c>
      <c r="J90" s="3" t="s">
        <v>58</v>
      </c>
      <c r="K90" s="4" t="s">
        <v>13</v>
      </c>
      <c r="L90" s="5"/>
      <c r="M90" s="6"/>
      <c r="N90" s="4" t="s">
        <v>13</v>
      </c>
      <c r="O90" s="6"/>
      <c r="P90" s="7"/>
      <c r="Q90" s="6"/>
      <c r="R90" s="4" t="s">
        <v>13</v>
      </c>
      <c r="S90" s="6"/>
      <c r="T90" s="4" t="s">
        <v>13</v>
      </c>
      <c r="U90" s="6"/>
      <c r="V90" s="4" t="s">
        <v>14</v>
      </c>
      <c r="W90" s="6"/>
      <c r="X90" s="4" t="s">
        <v>14</v>
      </c>
      <c r="Y90" s="6"/>
      <c r="Z90" s="4" t="s">
        <v>13</v>
      </c>
      <c r="AA90" s="6" t="s">
        <v>434</v>
      </c>
      <c r="AB90" s="6" t="s">
        <v>435</v>
      </c>
      <c r="AC90" s="6" t="s">
        <v>436</v>
      </c>
    </row>
    <row r="91" spans="1:29" ht="26" hidden="1" x14ac:dyDescent="0.35">
      <c r="A91" s="2">
        <v>1067</v>
      </c>
      <c r="B91" s="3" t="s">
        <v>108</v>
      </c>
      <c r="C91" s="3" t="s">
        <v>52</v>
      </c>
      <c r="D91" s="3" t="s">
        <v>53</v>
      </c>
      <c r="E91" s="3" t="s">
        <v>64</v>
      </c>
      <c r="F91" s="3" t="s">
        <v>65</v>
      </c>
      <c r="G91" s="3" t="s">
        <v>115</v>
      </c>
      <c r="H91" s="3" t="s">
        <v>115</v>
      </c>
      <c r="I91" s="3" t="s">
        <v>2</v>
      </c>
      <c r="J91" s="3" t="s">
        <v>58</v>
      </c>
      <c r="K91" s="4" t="s">
        <v>11</v>
      </c>
      <c r="L91" s="4" t="s">
        <v>13</v>
      </c>
      <c r="M91" s="6"/>
      <c r="N91" s="4" t="s">
        <v>14</v>
      </c>
      <c r="O91" s="6"/>
      <c r="P91" s="7"/>
      <c r="Q91" s="6"/>
      <c r="R91" s="4" t="s">
        <v>12</v>
      </c>
      <c r="S91" s="6" t="s">
        <v>437</v>
      </c>
      <c r="T91" s="4" t="s">
        <v>14</v>
      </c>
      <c r="U91" s="6"/>
      <c r="V91" s="4" t="s">
        <v>13</v>
      </c>
      <c r="W91" s="6"/>
      <c r="X91" s="4" t="s">
        <v>13</v>
      </c>
      <c r="Y91" s="6"/>
      <c r="Z91" s="4" t="s">
        <v>13</v>
      </c>
      <c r="AA91" s="6" t="s">
        <v>438</v>
      </c>
      <c r="AB91" s="6" t="s">
        <v>439</v>
      </c>
      <c r="AC91" s="6" t="s">
        <v>440</v>
      </c>
    </row>
    <row r="92" spans="1:29" ht="91" hidden="1" x14ac:dyDescent="0.35">
      <c r="A92" s="2">
        <v>1175</v>
      </c>
      <c r="B92" s="3" t="s">
        <v>108</v>
      </c>
      <c r="C92" s="3" t="s">
        <v>52</v>
      </c>
      <c r="D92" s="3" t="s">
        <v>53</v>
      </c>
      <c r="E92" s="3" t="s">
        <v>87</v>
      </c>
      <c r="F92" s="3" t="s">
        <v>77</v>
      </c>
      <c r="G92" s="3" t="s">
        <v>103</v>
      </c>
      <c r="H92" s="3" t="s">
        <v>104</v>
      </c>
      <c r="I92" s="3" t="s">
        <v>2</v>
      </c>
      <c r="J92" s="3" t="s">
        <v>88</v>
      </c>
      <c r="K92" s="4" t="s">
        <v>10</v>
      </c>
      <c r="L92" s="5"/>
      <c r="M92" s="6"/>
      <c r="N92" s="4" t="s">
        <v>13</v>
      </c>
      <c r="O92" s="6"/>
      <c r="P92" s="7"/>
      <c r="Q92" s="6"/>
      <c r="R92" s="4" t="s">
        <v>10</v>
      </c>
      <c r="S92" s="6" t="s">
        <v>441</v>
      </c>
      <c r="T92" s="4" t="s">
        <v>10</v>
      </c>
      <c r="U92" s="6" t="s">
        <v>442</v>
      </c>
      <c r="V92" s="4" t="s">
        <v>12</v>
      </c>
      <c r="W92" s="6" t="s">
        <v>443</v>
      </c>
      <c r="X92" s="4" t="s">
        <v>13</v>
      </c>
      <c r="Y92" s="6"/>
      <c r="Z92" s="4" t="s">
        <v>13</v>
      </c>
      <c r="AA92" s="6" t="s">
        <v>444</v>
      </c>
      <c r="AB92" s="6" t="s">
        <v>445</v>
      </c>
      <c r="AC92" s="6" t="s">
        <v>446</v>
      </c>
    </row>
    <row r="93" spans="1:29" ht="65" x14ac:dyDescent="0.35">
      <c r="A93" s="2">
        <v>1080</v>
      </c>
      <c r="B93" s="3" t="s">
        <v>51</v>
      </c>
      <c r="C93" s="3" t="s">
        <v>75</v>
      </c>
      <c r="D93" s="3" t="s">
        <v>53</v>
      </c>
      <c r="E93" s="3" t="s">
        <v>202</v>
      </c>
      <c r="F93" s="3" t="s">
        <v>65</v>
      </c>
      <c r="G93" s="3" t="s">
        <v>226</v>
      </c>
      <c r="H93" s="3" t="s">
        <v>226</v>
      </c>
      <c r="I93" s="3" t="s">
        <v>57</v>
      </c>
      <c r="J93" s="3" t="s">
        <v>58</v>
      </c>
      <c r="K93" s="4" t="s">
        <v>9</v>
      </c>
      <c r="L93" s="5"/>
      <c r="M93" s="6"/>
      <c r="N93" s="4" t="s">
        <v>11</v>
      </c>
      <c r="O93" s="6" t="s">
        <v>447</v>
      </c>
      <c r="P93" s="7"/>
      <c r="Q93" s="6"/>
      <c r="R93" s="4" t="s">
        <v>12</v>
      </c>
      <c r="S93" s="6" t="s">
        <v>448</v>
      </c>
      <c r="T93" s="4" t="s">
        <v>10</v>
      </c>
      <c r="U93" s="6" t="s">
        <v>449</v>
      </c>
      <c r="V93" s="4" t="s">
        <v>11</v>
      </c>
      <c r="W93" s="6" t="s">
        <v>450</v>
      </c>
      <c r="X93" s="4" t="s">
        <v>12</v>
      </c>
      <c r="Y93" s="6" t="s">
        <v>451</v>
      </c>
      <c r="Z93" s="4" t="s">
        <v>13</v>
      </c>
      <c r="AA93" s="6" t="s">
        <v>452</v>
      </c>
      <c r="AB93" s="6" t="s">
        <v>453</v>
      </c>
      <c r="AC93" s="6" t="s">
        <v>454</v>
      </c>
    </row>
    <row r="94" spans="1:29" ht="39" hidden="1" x14ac:dyDescent="0.35">
      <c r="A94" s="2">
        <v>1081</v>
      </c>
      <c r="B94" s="3" t="s">
        <v>108</v>
      </c>
      <c r="C94" s="3" t="s">
        <v>52</v>
      </c>
      <c r="D94" s="3" t="s">
        <v>53</v>
      </c>
      <c r="E94" s="3" t="s">
        <v>191</v>
      </c>
      <c r="F94" s="3" t="s">
        <v>97</v>
      </c>
      <c r="G94" s="3" t="s">
        <v>78</v>
      </c>
      <c r="H94" s="3" t="s">
        <v>78</v>
      </c>
      <c r="I94" s="3" t="s">
        <v>4</v>
      </c>
      <c r="J94" s="3" t="s">
        <v>58</v>
      </c>
      <c r="K94" s="4" t="s">
        <v>14</v>
      </c>
      <c r="L94" s="4" t="s">
        <v>59</v>
      </c>
      <c r="M94" s="6"/>
      <c r="N94" s="5"/>
      <c r="O94" s="6"/>
      <c r="P94" s="7"/>
      <c r="Q94" s="6"/>
      <c r="R94" s="4" t="s">
        <v>15</v>
      </c>
      <c r="S94" s="6"/>
      <c r="T94" s="4" t="s">
        <v>59</v>
      </c>
      <c r="U94" s="6"/>
      <c r="V94" s="4" t="s">
        <v>12</v>
      </c>
      <c r="W94" s="6" t="s">
        <v>455</v>
      </c>
      <c r="X94" s="4" t="s">
        <v>59</v>
      </c>
      <c r="Y94" s="6"/>
      <c r="Z94" s="4" t="s">
        <v>15</v>
      </c>
      <c r="AA94" s="6" t="s">
        <v>456</v>
      </c>
      <c r="AB94" s="6" t="s">
        <v>457</v>
      </c>
      <c r="AC94" s="6" t="s">
        <v>458</v>
      </c>
    </row>
    <row r="95" spans="1:29" ht="26" hidden="1" x14ac:dyDescent="0.35">
      <c r="A95" s="2">
        <v>1179</v>
      </c>
      <c r="B95" s="3" t="s">
        <v>108</v>
      </c>
      <c r="C95" s="3" t="s">
        <v>52</v>
      </c>
      <c r="D95" s="3" t="s">
        <v>53</v>
      </c>
      <c r="E95" s="3" t="s">
        <v>64</v>
      </c>
      <c r="F95" s="3" t="s">
        <v>65</v>
      </c>
      <c r="G95" s="3" t="s">
        <v>115</v>
      </c>
      <c r="H95" s="3" t="s">
        <v>115</v>
      </c>
      <c r="I95" s="3" t="s">
        <v>2</v>
      </c>
      <c r="J95" s="3" t="s">
        <v>58</v>
      </c>
      <c r="K95" s="4" t="s">
        <v>9</v>
      </c>
      <c r="L95" s="4" t="s">
        <v>15</v>
      </c>
      <c r="M95" s="6"/>
      <c r="N95" s="5"/>
      <c r="O95" s="6"/>
      <c r="P95" s="7"/>
      <c r="Q95" s="6"/>
      <c r="R95" s="4" t="s">
        <v>13</v>
      </c>
      <c r="S95" s="6"/>
      <c r="T95" s="4" t="s">
        <v>13</v>
      </c>
      <c r="U95" s="6"/>
      <c r="V95" s="4" t="s">
        <v>13</v>
      </c>
      <c r="W95" s="6"/>
      <c r="X95" s="4" t="s">
        <v>15</v>
      </c>
      <c r="Y95" s="6"/>
      <c r="Z95" s="4" t="s">
        <v>13</v>
      </c>
      <c r="AA95" s="6" t="s">
        <v>459</v>
      </c>
      <c r="AB95" s="6" t="s">
        <v>460</v>
      </c>
      <c r="AC95" s="6" t="s">
        <v>461</v>
      </c>
    </row>
    <row r="96" spans="1:29" ht="39" x14ac:dyDescent="0.35">
      <c r="A96" s="2">
        <v>1220</v>
      </c>
      <c r="B96" s="3" t="s">
        <v>51</v>
      </c>
      <c r="C96" s="3" t="s">
        <v>52</v>
      </c>
      <c r="D96" s="3" t="s">
        <v>86</v>
      </c>
      <c r="E96" s="3" t="s">
        <v>87</v>
      </c>
      <c r="F96" s="3" t="s">
        <v>77</v>
      </c>
      <c r="G96" s="3" t="s">
        <v>103</v>
      </c>
      <c r="H96" s="3" t="s">
        <v>104</v>
      </c>
      <c r="I96" s="3" t="s">
        <v>2</v>
      </c>
      <c r="J96" s="3" t="s">
        <v>88</v>
      </c>
      <c r="K96" s="4" t="s">
        <v>13</v>
      </c>
      <c r="L96" s="5"/>
      <c r="M96" s="6"/>
      <c r="N96" s="5"/>
      <c r="O96" s="6"/>
      <c r="P96" s="7"/>
      <c r="Q96" s="6"/>
      <c r="R96" s="5"/>
      <c r="S96" s="6"/>
      <c r="T96" s="5"/>
      <c r="U96" s="6"/>
      <c r="V96" s="4" t="s">
        <v>12</v>
      </c>
      <c r="W96" s="6" t="s">
        <v>462</v>
      </c>
      <c r="X96" s="4" t="s">
        <v>13</v>
      </c>
      <c r="Y96" s="6"/>
      <c r="Z96" s="4" t="s">
        <v>13</v>
      </c>
      <c r="AA96" s="6" t="s">
        <v>463</v>
      </c>
      <c r="AB96" s="6" t="s">
        <v>464</v>
      </c>
      <c r="AC96" s="6" t="s">
        <v>465</v>
      </c>
    </row>
    <row r="97" spans="1:29" hidden="1" x14ac:dyDescent="0.35">
      <c r="A97" s="2">
        <v>1090</v>
      </c>
      <c r="B97" s="3" t="s">
        <v>108</v>
      </c>
      <c r="C97" s="3" t="s">
        <v>52</v>
      </c>
      <c r="D97" s="3" t="s">
        <v>86</v>
      </c>
      <c r="E97" s="3" t="s">
        <v>54</v>
      </c>
      <c r="F97" s="3" t="s">
        <v>55</v>
      </c>
      <c r="G97" s="3" t="s">
        <v>56</v>
      </c>
      <c r="H97" s="3" t="s">
        <v>56</v>
      </c>
      <c r="I97" s="3" t="s">
        <v>57</v>
      </c>
      <c r="J97" s="3" t="s">
        <v>58</v>
      </c>
      <c r="K97" s="4" t="s">
        <v>12</v>
      </c>
      <c r="L97" s="4" t="s">
        <v>15</v>
      </c>
      <c r="M97" s="6"/>
      <c r="N97" s="4" t="s">
        <v>13</v>
      </c>
      <c r="O97" s="6"/>
      <c r="P97" s="7"/>
      <c r="Q97" s="6"/>
      <c r="R97" s="5"/>
      <c r="S97" s="6"/>
      <c r="T97" s="5"/>
      <c r="U97" s="6"/>
      <c r="V97" s="4" t="s">
        <v>12</v>
      </c>
      <c r="W97" s="6" t="s">
        <v>466</v>
      </c>
      <c r="X97" s="4" t="s">
        <v>15</v>
      </c>
      <c r="Y97" s="6"/>
      <c r="Z97" s="4" t="s">
        <v>13</v>
      </c>
      <c r="AA97" s="6" t="s">
        <v>467</v>
      </c>
      <c r="AB97" s="6" t="s">
        <v>468</v>
      </c>
      <c r="AC97" s="6" t="s">
        <v>469</v>
      </c>
    </row>
    <row r="98" spans="1:29" ht="52" x14ac:dyDescent="0.35">
      <c r="A98" s="2">
        <v>1236</v>
      </c>
      <c r="B98" s="3" t="s">
        <v>51</v>
      </c>
      <c r="C98" s="3" t="s">
        <v>52</v>
      </c>
      <c r="D98" s="3" t="s">
        <v>53</v>
      </c>
      <c r="E98" s="3" t="s">
        <v>191</v>
      </c>
      <c r="F98" s="3" t="s">
        <v>97</v>
      </c>
      <c r="G98" s="3" t="s">
        <v>78</v>
      </c>
      <c r="H98" s="3" t="s">
        <v>78</v>
      </c>
      <c r="I98" s="3" t="s">
        <v>2</v>
      </c>
      <c r="J98" s="3" t="s">
        <v>58</v>
      </c>
      <c r="K98" s="4" t="s">
        <v>13</v>
      </c>
      <c r="L98" s="5"/>
      <c r="M98" s="6"/>
      <c r="N98" s="4" t="s">
        <v>14</v>
      </c>
      <c r="O98" s="6"/>
      <c r="P98" s="7"/>
      <c r="Q98" s="6"/>
      <c r="R98" s="5"/>
      <c r="S98" s="6"/>
      <c r="T98" s="4" t="s">
        <v>13</v>
      </c>
      <c r="U98" s="6"/>
      <c r="V98" s="4" t="s">
        <v>13</v>
      </c>
      <c r="W98" s="6"/>
      <c r="X98" s="4" t="s">
        <v>72</v>
      </c>
      <c r="Y98" s="6"/>
      <c r="Z98" s="4" t="s">
        <v>13</v>
      </c>
      <c r="AA98" s="6" t="s">
        <v>470</v>
      </c>
      <c r="AB98" s="6" t="s">
        <v>471</v>
      </c>
      <c r="AC98" s="6" t="s">
        <v>472</v>
      </c>
    </row>
    <row r="99" spans="1:29" ht="26" x14ac:dyDescent="0.35">
      <c r="A99" s="2">
        <v>1251</v>
      </c>
      <c r="B99" s="3" t="s">
        <v>51</v>
      </c>
      <c r="C99" s="3" t="s">
        <v>75</v>
      </c>
      <c r="D99" s="3" t="s">
        <v>86</v>
      </c>
      <c r="E99" s="3" t="s">
        <v>202</v>
      </c>
      <c r="F99" s="3" t="s">
        <v>65</v>
      </c>
      <c r="G99" s="3" t="s">
        <v>56</v>
      </c>
      <c r="H99" s="3" t="s">
        <v>56</v>
      </c>
      <c r="I99" s="3" t="s">
        <v>2</v>
      </c>
      <c r="J99" s="3" t="s">
        <v>58</v>
      </c>
      <c r="K99" s="4" t="s">
        <v>13</v>
      </c>
      <c r="L99" s="5"/>
      <c r="M99" s="6"/>
      <c r="N99" s="5"/>
      <c r="O99" s="6"/>
      <c r="P99" s="7"/>
      <c r="Q99" s="6"/>
      <c r="R99" s="5"/>
      <c r="S99" s="6"/>
      <c r="T99" s="5"/>
      <c r="U99" s="6"/>
      <c r="V99" s="5"/>
      <c r="W99" s="6"/>
      <c r="X99" s="4" t="s">
        <v>12</v>
      </c>
      <c r="Y99" s="6" t="s">
        <v>473</v>
      </c>
      <c r="Z99" s="4" t="s">
        <v>13</v>
      </c>
      <c r="AA99" s="6" t="s">
        <v>474</v>
      </c>
      <c r="AB99" s="6" t="s">
        <v>475</v>
      </c>
      <c r="AC99" s="6" t="s">
        <v>476</v>
      </c>
    </row>
    <row r="100" spans="1:29" ht="26" hidden="1" x14ac:dyDescent="0.35">
      <c r="A100" s="2">
        <v>1098</v>
      </c>
      <c r="B100" s="3" t="s">
        <v>108</v>
      </c>
      <c r="C100" s="3" t="s">
        <v>52</v>
      </c>
      <c r="D100" s="3" t="s">
        <v>86</v>
      </c>
      <c r="E100" s="3" t="s">
        <v>87</v>
      </c>
      <c r="F100" s="3" t="s">
        <v>77</v>
      </c>
      <c r="G100" s="3" t="s">
        <v>103</v>
      </c>
      <c r="H100" s="3" t="s">
        <v>104</v>
      </c>
      <c r="I100" s="3" t="s">
        <v>4</v>
      </c>
      <c r="J100" s="3" t="s">
        <v>88</v>
      </c>
      <c r="K100" s="4" t="s">
        <v>14</v>
      </c>
      <c r="L100" s="4" t="s">
        <v>14</v>
      </c>
      <c r="M100" s="6"/>
      <c r="N100" s="4" t="s">
        <v>13</v>
      </c>
      <c r="O100" s="6"/>
      <c r="P100" s="3" t="s">
        <v>109</v>
      </c>
      <c r="Q100" s="6" t="s">
        <v>477</v>
      </c>
      <c r="R100" s="5"/>
      <c r="S100" s="6"/>
      <c r="T100" s="5"/>
      <c r="U100" s="6"/>
      <c r="V100" s="4" t="s">
        <v>13</v>
      </c>
      <c r="W100" s="6"/>
      <c r="X100" s="4" t="s">
        <v>14</v>
      </c>
      <c r="Y100" s="6"/>
      <c r="Z100" s="4" t="s">
        <v>15</v>
      </c>
      <c r="AA100" s="6" t="s">
        <v>478</v>
      </c>
      <c r="AB100" s="6" t="s">
        <v>479</v>
      </c>
      <c r="AC100" s="6" t="s">
        <v>480</v>
      </c>
    </row>
    <row r="101" spans="1:29" ht="26" x14ac:dyDescent="0.35">
      <c r="A101" s="2">
        <v>1259</v>
      </c>
      <c r="B101" s="3" t="s">
        <v>51</v>
      </c>
      <c r="C101" s="3" t="s">
        <v>52</v>
      </c>
      <c r="D101" s="3" t="s">
        <v>86</v>
      </c>
      <c r="E101" s="3" t="s">
        <v>64</v>
      </c>
      <c r="F101" s="3" t="s">
        <v>65</v>
      </c>
      <c r="G101" s="3" t="s">
        <v>66</v>
      </c>
      <c r="H101" s="3" t="s">
        <v>67</v>
      </c>
      <c r="I101" s="3" t="s">
        <v>2</v>
      </c>
      <c r="J101" s="3" t="s">
        <v>58</v>
      </c>
      <c r="K101" s="4" t="s">
        <v>13</v>
      </c>
      <c r="L101" s="5"/>
      <c r="M101" s="6"/>
      <c r="N101" s="4" t="s">
        <v>10</v>
      </c>
      <c r="O101" s="6" t="s">
        <v>481</v>
      </c>
      <c r="P101" s="7"/>
      <c r="Q101" s="6"/>
      <c r="R101" s="5"/>
      <c r="S101" s="6"/>
      <c r="T101" s="5"/>
      <c r="U101" s="6"/>
      <c r="V101" s="5"/>
      <c r="W101" s="6"/>
      <c r="X101" s="4" t="s">
        <v>11</v>
      </c>
      <c r="Y101" s="6" t="s">
        <v>482</v>
      </c>
      <c r="Z101" s="4" t="s">
        <v>13</v>
      </c>
      <c r="AA101" s="6" t="s">
        <v>483</v>
      </c>
      <c r="AB101" s="6" t="s">
        <v>484</v>
      </c>
      <c r="AC101" s="6" t="s">
        <v>485</v>
      </c>
    </row>
    <row r="102" spans="1:29" ht="65" hidden="1" x14ac:dyDescent="0.35">
      <c r="A102" s="2">
        <v>1100</v>
      </c>
      <c r="B102" s="3" t="s">
        <v>108</v>
      </c>
      <c r="C102" s="3" t="s">
        <v>75</v>
      </c>
      <c r="D102" s="3" t="s">
        <v>86</v>
      </c>
      <c r="E102" s="3" t="s">
        <v>76</v>
      </c>
      <c r="F102" s="3" t="s">
        <v>77</v>
      </c>
      <c r="G102" s="3" t="s">
        <v>78</v>
      </c>
      <c r="H102" s="3" t="s">
        <v>78</v>
      </c>
      <c r="I102" s="3" t="s">
        <v>127</v>
      </c>
      <c r="J102" s="3" t="s">
        <v>58</v>
      </c>
      <c r="K102" s="4" t="s">
        <v>10</v>
      </c>
      <c r="L102" s="4" t="s">
        <v>14</v>
      </c>
      <c r="M102" s="6"/>
      <c r="N102" s="4" t="s">
        <v>12</v>
      </c>
      <c r="O102" s="6" t="s">
        <v>486</v>
      </c>
      <c r="P102" s="7"/>
      <c r="Q102" s="6"/>
      <c r="R102" s="4" t="s">
        <v>12</v>
      </c>
      <c r="S102" s="6" t="s">
        <v>487</v>
      </c>
      <c r="T102" s="4" t="s">
        <v>13</v>
      </c>
      <c r="U102" s="6"/>
      <c r="V102" s="4" t="s">
        <v>9</v>
      </c>
      <c r="W102" s="6" t="s">
        <v>488</v>
      </c>
      <c r="X102" s="4" t="s">
        <v>13</v>
      </c>
      <c r="Y102" s="6"/>
      <c r="Z102" s="4" t="s">
        <v>12</v>
      </c>
      <c r="AA102" s="6" t="s">
        <v>489</v>
      </c>
      <c r="AB102" s="6" t="s">
        <v>490</v>
      </c>
      <c r="AC102" s="6" t="s">
        <v>491</v>
      </c>
    </row>
    <row r="103" spans="1:29" ht="26" x14ac:dyDescent="0.35">
      <c r="A103" s="2">
        <v>1106</v>
      </c>
      <c r="B103" s="3" t="s">
        <v>51</v>
      </c>
      <c r="C103" s="3" t="s">
        <v>52</v>
      </c>
      <c r="D103" s="3" t="s">
        <v>53</v>
      </c>
      <c r="E103" s="3" t="s">
        <v>54</v>
      </c>
      <c r="F103" s="3" t="s">
        <v>55</v>
      </c>
      <c r="G103" s="3" t="s">
        <v>115</v>
      </c>
      <c r="H103" s="3" t="s">
        <v>115</v>
      </c>
      <c r="I103" s="3" t="s">
        <v>4</v>
      </c>
      <c r="J103" s="3" t="s">
        <v>58</v>
      </c>
      <c r="K103" s="4" t="s">
        <v>11</v>
      </c>
      <c r="L103" s="4" t="s">
        <v>15</v>
      </c>
      <c r="M103" s="6"/>
      <c r="N103" s="4" t="s">
        <v>10</v>
      </c>
      <c r="O103" s="6" t="s">
        <v>492</v>
      </c>
      <c r="P103" s="7"/>
      <c r="Q103" s="6"/>
      <c r="R103" s="4" t="s">
        <v>8</v>
      </c>
      <c r="S103" s="6" t="s">
        <v>493</v>
      </c>
      <c r="T103" s="4" t="s">
        <v>8</v>
      </c>
      <c r="U103" s="6" t="s">
        <v>494</v>
      </c>
      <c r="V103" s="4" t="s">
        <v>12</v>
      </c>
      <c r="W103" s="6" t="s">
        <v>495</v>
      </c>
      <c r="X103" s="4" t="s">
        <v>11</v>
      </c>
      <c r="Y103" s="6" t="s">
        <v>496</v>
      </c>
      <c r="Z103" s="4" t="s">
        <v>7</v>
      </c>
      <c r="AA103" s="6" t="s">
        <v>497</v>
      </c>
      <c r="AB103" s="6" t="s">
        <v>498</v>
      </c>
      <c r="AC103" s="6" t="s">
        <v>499</v>
      </c>
    </row>
    <row r="104" spans="1:29" ht="39" hidden="1" x14ac:dyDescent="0.35">
      <c r="A104" s="2">
        <v>1109</v>
      </c>
      <c r="B104" s="3" t="s">
        <v>108</v>
      </c>
      <c r="C104" s="3" t="s">
        <v>52</v>
      </c>
      <c r="D104" s="3" t="s">
        <v>86</v>
      </c>
      <c r="E104" s="3" t="s">
        <v>64</v>
      </c>
      <c r="F104" s="3" t="s">
        <v>65</v>
      </c>
      <c r="G104" s="3" t="s">
        <v>66</v>
      </c>
      <c r="H104" s="3" t="s">
        <v>67</v>
      </c>
      <c r="I104" s="3" t="s">
        <v>57</v>
      </c>
      <c r="J104" s="3" t="s">
        <v>58</v>
      </c>
      <c r="K104" s="4" t="s">
        <v>59</v>
      </c>
      <c r="L104" s="4" t="s">
        <v>59</v>
      </c>
      <c r="M104" s="6"/>
      <c r="N104" s="4" t="s">
        <v>59</v>
      </c>
      <c r="O104" s="6"/>
      <c r="P104" s="3" t="s">
        <v>109</v>
      </c>
      <c r="Q104" s="6" t="s">
        <v>500</v>
      </c>
      <c r="R104" s="5"/>
      <c r="S104" s="6"/>
      <c r="T104" s="5"/>
      <c r="U104" s="6"/>
      <c r="V104" s="4" t="s">
        <v>59</v>
      </c>
      <c r="W104" s="6"/>
      <c r="X104" s="4" t="s">
        <v>59</v>
      </c>
      <c r="Y104" s="6"/>
      <c r="Z104" s="4" t="s">
        <v>16</v>
      </c>
      <c r="AA104" s="6" t="s">
        <v>501</v>
      </c>
      <c r="AB104" s="6" t="s">
        <v>502</v>
      </c>
      <c r="AC104" s="6" t="s">
        <v>503</v>
      </c>
    </row>
    <row r="105" spans="1:29" ht="78" x14ac:dyDescent="0.35">
      <c r="A105" s="2">
        <v>1272</v>
      </c>
      <c r="B105" s="3" t="s">
        <v>51</v>
      </c>
      <c r="C105" s="3" t="s">
        <v>52</v>
      </c>
      <c r="D105" s="3" t="s">
        <v>53</v>
      </c>
      <c r="E105" s="3" t="s">
        <v>64</v>
      </c>
      <c r="F105" s="3" t="s">
        <v>65</v>
      </c>
      <c r="G105" s="3" t="s">
        <v>115</v>
      </c>
      <c r="H105" s="3" t="s">
        <v>115</v>
      </c>
      <c r="I105" s="3" t="s">
        <v>2</v>
      </c>
      <c r="J105" s="3" t="s">
        <v>58</v>
      </c>
      <c r="K105" s="4" t="s">
        <v>12</v>
      </c>
      <c r="L105" s="4" t="s">
        <v>13</v>
      </c>
      <c r="M105" s="6"/>
      <c r="N105" s="4" t="s">
        <v>13</v>
      </c>
      <c r="O105" s="6"/>
      <c r="P105" s="3" t="s">
        <v>79</v>
      </c>
      <c r="Q105" s="6"/>
      <c r="R105" s="4" t="s">
        <v>13</v>
      </c>
      <c r="S105" s="6"/>
      <c r="T105" s="4" t="s">
        <v>14</v>
      </c>
      <c r="U105" s="6"/>
      <c r="V105" s="4" t="s">
        <v>13</v>
      </c>
      <c r="W105" s="6"/>
      <c r="X105" s="4" t="s">
        <v>13</v>
      </c>
      <c r="Y105" s="6"/>
      <c r="Z105" s="4" t="s">
        <v>13</v>
      </c>
      <c r="AA105" s="6" t="s">
        <v>504</v>
      </c>
      <c r="AB105" s="6" t="s">
        <v>505</v>
      </c>
      <c r="AC105" s="6" t="s">
        <v>506</v>
      </c>
    </row>
    <row r="106" spans="1:29" ht="52" x14ac:dyDescent="0.35">
      <c r="A106" s="2">
        <v>1312</v>
      </c>
      <c r="B106" s="3" t="s">
        <v>51</v>
      </c>
      <c r="C106" s="3" t="s">
        <v>52</v>
      </c>
      <c r="D106" s="3" t="s">
        <v>86</v>
      </c>
      <c r="E106" s="3" t="s">
        <v>64</v>
      </c>
      <c r="F106" s="3" t="s">
        <v>65</v>
      </c>
      <c r="G106" s="3" t="s">
        <v>66</v>
      </c>
      <c r="H106" s="3" t="s">
        <v>67</v>
      </c>
      <c r="I106" s="3" t="s">
        <v>2</v>
      </c>
      <c r="J106" s="3" t="s">
        <v>58</v>
      </c>
      <c r="K106" s="4" t="s">
        <v>13</v>
      </c>
      <c r="L106" s="5"/>
      <c r="M106" s="6"/>
      <c r="N106" s="4" t="s">
        <v>12</v>
      </c>
      <c r="O106" s="6" t="s">
        <v>507</v>
      </c>
      <c r="P106" s="3" t="s">
        <v>172</v>
      </c>
      <c r="Q106" s="6" t="s">
        <v>508</v>
      </c>
      <c r="R106" s="5"/>
      <c r="S106" s="6"/>
      <c r="T106" s="4" t="s">
        <v>9</v>
      </c>
      <c r="U106" s="6" t="s">
        <v>509</v>
      </c>
      <c r="V106" s="5"/>
      <c r="W106" s="6"/>
      <c r="X106" s="4" t="s">
        <v>11</v>
      </c>
      <c r="Y106" s="6" t="s">
        <v>510</v>
      </c>
      <c r="Z106" s="4" t="s">
        <v>13</v>
      </c>
      <c r="AA106" s="6" t="s">
        <v>511</v>
      </c>
      <c r="AB106" s="6" t="s">
        <v>512</v>
      </c>
      <c r="AC106" s="6" t="s">
        <v>513</v>
      </c>
    </row>
    <row r="107" spans="1:29" ht="39" hidden="1" x14ac:dyDescent="0.35">
      <c r="A107" s="2">
        <v>1324</v>
      </c>
      <c r="B107" s="3" t="s">
        <v>108</v>
      </c>
      <c r="C107" s="3" t="s">
        <v>52</v>
      </c>
      <c r="D107" s="3" t="s">
        <v>86</v>
      </c>
      <c r="E107" s="3" t="s">
        <v>64</v>
      </c>
      <c r="F107" s="3" t="s">
        <v>65</v>
      </c>
      <c r="G107" s="3" t="s">
        <v>66</v>
      </c>
      <c r="H107" s="3" t="s">
        <v>67</v>
      </c>
      <c r="I107" s="3" t="s">
        <v>2</v>
      </c>
      <c r="J107" s="3" t="s">
        <v>58</v>
      </c>
      <c r="K107" s="4" t="s">
        <v>10</v>
      </c>
      <c r="L107" s="4" t="s">
        <v>59</v>
      </c>
      <c r="M107" s="6"/>
      <c r="N107" s="5"/>
      <c r="O107" s="6"/>
      <c r="P107" s="7"/>
      <c r="Q107" s="6"/>
      <c r="R107" s="4" t="s">
        <v>13</v>
      </c>
      <c r="S107" s="6"/>
      <c r="T107" s="4" t="s">
        <v>13</v>
      </c>
      <c r="U107" s="6"/>
      <c r="V107" s="4" t="s">
        <v>13</v>
      </c>
      <c r="W107" s="6"/>
      <c r="X107" s="4" t="s">
        <v>59</v>
      </c>
      <c r="Y107" s="6"/>
      <c r="Z107" s="4" t="s">
        <v>13</v>
      </c>
      <c r="AA107" s="6" t="s">
        <v>514</v>
      </c>
      <c r="AB107" s="6"/>
      <c r="AC107" s="6" t="s">
        <v>515</v>
      </c>
    </row>
    <row r="108" spans="1:29" ht="65" hidden="1" x14ac:dyDescent="0.35">
      <c r="A108" s="2">
        <v>1337</v>
      </c>
      <c r="B108" s="3" t="s">
        <v>108</v>
      </c>
      <c r="C108" s="3" t="s">
        <v>52</v>
      </c>
      <c r="D108" s="3" t="s">
        <v>53</v>
      </c>
      <c r="E108" s="3" t="s">
        <v>87</v>
      </c>
      <c r="F108" s="3" t="s">
        <v>77</v>
      </c>
      <c r="G108" s="3" t="s">
        <v>103</v>
      </c>
      <c r="H108" s="3" t="s">
        <v>104</v>
      </c>
      <c r="I108" s="3" t="s">
        <v>2</v>
      </c>
      <c r="J108" s="3" t="s">
        <v>58</v>
      </c>
      <c r="K108" s="4" t="s">
        <v>12</v>
      </c>
      <c r="L108" s="5"/>
      <c r="M108" s="6"/>
      <c r="N108" s="4" t="s">
        <v>14</v>
      </c>
      <c r="O108" s="6"/>
      <c r="P108" s="3" t="s">
        <v>109</v>
      </c>
      <c r="Q108" s="6" t="s">
        <v>516</v>
      </c>
      <c r="R108" s="4" t="s">
        <v>13</v>
      </c>
      <c r="S108" s="6"/>
      <c r="T108" s="4" t="s">
        <v>12</v>
      </c>
      <c r="U108" s="6" t="s">
        <v>517</v>
      </c>
      <c r="V108" s="4" t="s">
        <v>13</v>
      </c>
      <c r="W108" s="6"/>
      <c r="X108" s="4" t="s">
        <v>13</v>
      </c>
      <c r="Y108" s="6"/>
      <c r="Z108" s="4" t="s">
        <v>13</v>
      </c>
      <c r="AA108" s="6" t="s">
        <v>518</v>
      </c>
      <c r="AB108" s="6" t="s">
        <v>519</v>
      </c>
      <c r="AC108" s="6" t="s">
        <v>520</v>
      </c>
    </row>
    <row r="109" spans="1:29" ht="26" hidden="1" x14ac:dyDescent="0.35">
      <c r="A109" s="2">
        <v>1123</v>
      </c>
      <c r="B109" s="3" t="s">
        <v>108</v>
      </c>
      <c r="C109" s="3" t="s">
        <v>52</v>
      </c>
      <c r="D109" s="3" t="s">
        <v>86</v>
      </c>
      <c r="E109" s="3" t="s">
        <v>64</v>
      </c>
      <c r="F109" s="3" t="s">
        <v>65</v>
      </c>
      <c r="G109" s="3" t="s">
        <v>115</v>
      </c>
      <c r="H109" s="3" t="s">
        <v>115</v>
      </c>
      <c r="I109" s="3" t="s">
        <v>127</v>
      </c>
      <c r="J109" s="3" t="s">
        <v>58</v>
      </c>
      <c r="K109" s="4" t="s">
        <v>14</v>
      </c>
      <c r="L109" s="4" t="s">
        <v>13</v>
      </c>
      <c r="M109" s="6"/>
      <c r="N109" s="4" t="s">
        <v>13</v>
      </c>
      <c r="O109" s="6"/>
      <c r="P109" s="3" t="s">
        <v>109</v>
      </c>
      <c r="Q109" s="6" t="s">
        <v>521</v>
      </c>
      <c r="R109" s="4" t="s">
        <v>12</v>
      </c>
      <c r="S109" s="6" t="s">
        <v>522</v>
      </c>
      <c r="T109" s="5"/>
      <c r="U109" s="6"/>
      <c r="V109" s="4" t="s">
        <v>14</v>
      </c>
      <c r="W109" s="6"/>
      <c r="X109" s="4" t="s">
        <v>15</v>
      </c>
      <c r="Y109" s="6"/>
      <c r="Z109" s="4" t="s">
        <v>14</v>
      </c>
      <c r="AA109" s="6" t="s">
        <v>523</v>
      </c>
      <c r="AB109" s="6" t="s">
        <v>524</v>
      </c>
      <c r="AC109" s="6" t="s">
        <v>525</v>
      </c>
    </row>
    <row r="110" spans="1:29" ht="78" hidden="1" x14ac:dyDescent="0.35">
      <c r="A110" s="2">
        <v>1129</v>
      </c>
      <c r="B110" s="3" t="s">
        <v>108</v>
      </c>
      <c r="C110" s="3" t="s">
        <v>52</v>
      </c>
      <c r="D110" s="3" t="s">
        <v>53</v>
      </c>
      <c r="E110" s="3" t="s">
        <v>64</v>
      </c>
      <c r="F110" s="3" t="s">
        <v>65</v>
      </c>
      <c r="G110" s="3" t="s">
        <v>66</v>
      </c>
      <c r="H110" s="3" t="s">
        <v>67</v>
      </c>
      <c r="I110" s="3" t="s">
        <v>4</v>
      </c>
      <c r="J110" s="3" t="s">
        <v>58</v>
      </c>
      <c r="K110" s="4" t="s">
        <v>13</v>
      </c>
      <c r="L110" s="5"/>
      <c r="M110" s="6"/>
      <c r="N110" s="4" t="s">
        <v>15</v>
      </c>
      <c r="O110" s="6"/>
      <c r="P110" s="3" t="s">
        <v>79</v>
      </c>
      <c r="Q110" s="6"/>
      <c r="R110" s="4" t="s">
        <v>11</v>
      </c>
      <c r="S110" s="6" t="s">
        <v>526</v>
      </c>
      <c r="T110" s="4" t="s">
        <v>13</v>
      </c>
      <c r="U110" s="6"/>
      <c r="V110" s="4" t="s">
        <v>15</v>
      </c>
      <c r="W110" s="6"/>
      <c r="X110" s="4" t="s">
        <v>14</v>
      </c>
      <c r="Y110" s="6"/>
      <c r="Z110" s="4" t="s">
        <v>14</v>
      </c>
      <c r="AA110" s="6" t="s">
        <v>527</v>
      </c>
      <c r="AB110" s="6" t="s">
        <v>528</v>
      </c>
      <c r="AC110" s="6" t="s">
        <v>529</v>
      </c>
    </row>
    <row r="111" spans="1:29" ht="52" hidden="1" x14ac:dyDescent="0.35">
      <c r="A111" s="2">
        <v>1340</v>
      </c>
      <c r="B111" s="3" t="s">
        <v>108</v>
      </c>
      <c r="C111" s="3" t="s">
        <v>52</v>
      </c>
      <c r="D111" s="3" t="s">
        <v>53</v>
      </c>
      <c r="E111" s="3" t="s">
        <v>64</v>
      </c>
      <c r="F111" s="3" t="s">
        <v>65</v>
      </c>
      <c r="G111" s="3" t="s">
        <v>115</v>
      </c>
      <c r="H111" s="3" t="s">
        <v>115</v>
      </c>
      <c r="I111" s="3" t="s">
        <v>2</v>
      </c>
      <c r="J111" s="3" t="s">
        <v>58</v>
      </c>
      <c r="K111" s="4" t="s">
        <v>11</v>
      </c>
      <c r="L111" s="5"/>
      <c r="M111" s="6"/>
      <c r="N111" s="4" t="s">
        <v>13</v>
      </c>
      <c r="O111" s="6"/>
      <c r="P111" s="7"/>
      <c r="Q111" s="6"/>
      <c r="R111" s="4" t="s">
        <v>13</v>
      </c>
      <c r="S111" s="6"/>
      <c r="T111" s="4" t="s">
        <v>10</v>
      </c>
      <c r="U111" s="6" t="s">
        <v>530</v>
      </c>
      <c r="V111" s="4" t="s">
        <v>13</v>
      </c>
      <c r="W111" s="6"/>
      <c r="X111" s="4" t="s">
        <v>15</v>
      </c>
      <c r="Y111" s="6"/>
      <c r="Z111" s="4" t="s">
        <v>13</v>
      </c>
      <c r="AA111" s="6" t="s">
        <v>531</v>
      </c>
      <c r="AB111" s="6" t="s">
        <v>532</v>
      </c>
      <c r="AC111" s="6" t="s">
        <v>533</v>
      </c>
    </row>
    <row r="112" spans="1:29" ht="91" x14ac:dyDescent="0.35">
      <c r="A112" s="2">
        <v>1133</v>
      </c>
      <c r="B112" s="3" t="s">
        <v>51</v>
      </c>
      <c r="C112" s="3" t="s">
        <v>52</v>
      </c>
      <c r="D112" s="3" t="s">
        <v>86</v>
      </c>
      <c r="E112" s="3" t="s">
        <v>64</v>
      </c>
      <c r="F112" s="3" t="s">
        <v>65</v>
      </c>
      <c r="G112" s="3" t="s">
        <v>66</v>
      </c>
      <c r="H112" s="3" t="s">
        <v>67</v>
      </c>
      <c r="I112" s="3" t="s">
        <v>4</v>
      </c>
      <c r="J112" s="3" t="s">
        <v>58</v>
      </c>
      <c r="K112" s="4" t="s">
        <v>14</v>
      </c>
      <c r="L112" s="4" t="s">
        <v>59</v>
      </c>
      <c r="M112" s="6"/>
      <c r="N112" s="4" t="s">
        <v>12</v>
      </c>
      <c r="O112" s="6" t="s">
        <v>534</v>
      </c>
      <c r="P112" s="3" t="s">
        <v>172</v>
      </c>
      <c r="Q112" s="6" t="s">
        <v>535</v>
      </c>
      <c r="R112" s="4" t="s">
        <v>12</v>
      </c>
      <c r="S112" s="6" t="s">
        <v>536</v>
      </c>
      <c r="T112" s="4" t="s">
        <v>12</v>
      </c>
      <c r="U112" s="6" t="s">
        <v>537</v>
      </c>
      <c r="V112" s="4" t="s">
        <v>14</v>
      </c>
      <c r="W112" s="6"/>
      <c r="X112" s="4" t="s">
        <v>72</v>
      </c>
      <c r="Y112" s="6"/>
      <c r="Z112" s="4" t="s">
        <v>12</v>
      </c>
      <c r="AA112" s="6" t="s">
        <v>538</v>
      </c>
      <c r="AB112" s="6"/>
      <c r="AC112" s="6" t="s">
        <v>539</v>
      </c>
    </row>
    <row r="113" spans="1:29" ht="78" hidden="1" x14ac:dyDescent="0.35">
      <c r="A113" s="2">
        <v>1134</v>
      </c>
      <c r="B113" s="3" t="s">
        <v>108</v>
      </c>
      <c r="C113" s="3" t="s">
        <v>52</v>
      </c>
      <c r="D113" s="3" t="s">
        <v>53</v>
      </c>
      <c r="E113" s="3" t="s">
        <v>87</v>
      </c>
      <c r="F113" s="3" t="s">
        <v>77</v>
      </c>
      <c r="G113" s="3" t="s">
        <v>103</v>
      </c>
      <c r="H113" s="3" t="s">
        <v>104</v>
      </c>
      <c r="I113" s="3" t="s">
        <v>57</v>
      </c>
      <c r="J113" s="3" t="s">
        <v>58</v>
      </c>
      <c r="K113" s="4" t="s">
        <v>13</v>
      </c>
      <c r="L113" s="5"/>
      <c r="M113" s="6"/>
      <c r="N113" s="4" t="s">
        <v>14</v>
      </c>
      <c r="O113" s="6"/>
      <c r="P113" s="7"/>
      <c r="Q113" s="6"/>
      <c r="R113" s="4" t="s">
        <v>13</v>
      </c>
      <c r="S113" s="6"/>
      <c r="T113" s="4" t="s">
        <v>15</v>
      </c>
      <c r="U113" s="6"/>
      <c r="V113" s="4" t="s">
        <v>13</v>
      </c>
      <c r="W113" s="6"/>
      <c r="X113" s="4" t="s">
        <v>15</v>
      </c>
      <c r="Y113" s="6"/>
      <c r="Z113" s="4" t="s">
        <v>14</v>
      </c>
      <c r="AA113" s="6" t="s">
        <v>540</v>
      </c>
      <c r="AB113" s="6" t="s">
        <v>541</v>
      </c>
      <c r="AC113" s="6" t="s">
        <v>542</v>
      </c>
    </row>
    <row r="114" spans="1:29" ht="39" hidden="1" x14ac:dyDescent="0.35">
      <c r="A114" s="2">
        <v>1006</v>
      </c>
      <c r="B114" s="3" t="s">
        <v>108</v>
      </c>
      <c r="C114" s="3" t="s">
        <v>75</v>
      </c>
      <c r="D114" s="3" t="s">
        <v>53</v>
      </c>
      <c r="E114" s="3" t="s">
        <v>202</v>
      </c>
      <c r="F114" s="3" t="s">
        <v>65</v>
      </c>
      <c r="G114" s="3" t="s">
        <v>56</v>
      </c>
      <c r="H114" s="3" t="s">
        <v>56</v>
      </c>
      <c r="I114" s="3" t="s">
        <v>2</v>
      </c>
      <c r="J114" s="3" t="s">
        <v>58</v>
      </c>
      <c r="K114" s="4" t="s">
        <v>14</v>
      </c>
      <c r="L114" s="4" t="s">
        <v>59</v>
      </c>
      <c r="M114" s="6"/>
      <c r="N114" s="4" t="s">
        <v>12</v>
      </c>
      <c r="O114" s="6" t="s">
        <v>543</v>
      </c>
      <c r="P114" s="7"/>
      <c r="Q114" s="6"/>
      <c r="R114" s="4" t="s">
        <v>59</v>
      </c>
      <c r="S114" s="6"/>
      <c r="T114" s="4" t="s">
        <v>128</v>
      </c>
      <c r="U114" s="6" t="s">
        <v>544</v>
      </c>
      <c r="V114" s="4" t="s">
        <v>9</v>
      </c>
      <c r="W114" s="6" t="s">
        <v>545</v>
      </c>
      <c r="X114" s="4" t="s">
        <v>9</v>
      </c>
      <c r="Y114" s="6" t="s">
        <v>546</v>
      </c>
      <c r="Z114" s="4" t="s">
        <v>12</v>
      </c>
      <c r="AA114" s="6" t="s">
        <v>547</v>
      </c>
      <c r="AB114" s="6" t="s">
        <v>548</v>
      </c>
      <c r="AC114" s="6" t="s">
        <v>549</v>
      </c>
    </row>
    <row r="115" spans="1:29" ht="26" hidden="1" x14ac:dyDescent="0.35">
      <c r="A115" s="2">
        <v>1091</v>
      </c>
      <c r="B115" s="3" t="s">
        <v>108</v>
      </c>
      <c r="C115" s="3" t="s">
        <v>52</v>
      </c>
      <c r="D115" s="3" t="s">
        <v>53</v>
      </c>
      <c r="E115" s="3" t="s">
        <v>64</v>
      </c>
      <c r="F115" s="3" t="s">
        <v>65</v>
      </c>
      <c r="G115" s="3" t="s">
        <v>66</v>
      </c>
      <c r="H115" s="3" t="s">
        <v>67</v>
      </c>
      <c r="I115" s="3" t="s">
        <v>2</v>
      </c>
      <c r="J115" s="3" t="s">
        <v>58</v>
      </c>
      <c r="K115" s="4" t="s">
        <v>12</v>
      </c>
      <c r="L115" s="4" t="s">
        <v>13</v>
      </c>
      <c r="M115" s="6"/>
      <c r="N115" s="4" t="s">
        <v>14</v>
      </c>
      <c r="O115" s="6"/>
      <c r="P115" s="7"/>
      <c r="Q115" s="6"/>
      <c r="R115" s="4" t="s">
        <v>14</v>
      </c>
      <c r="S115" s="6"/>
      <c r="T115" s="4" t="s">
        <v>13</v>
      </c>
      <c r="U115" s="6"/>
      <c r="V115" s="4" t="s">
        <v>11</v>
      </c>
      <c r="W115" s="6" t="s">
        <v>550</v>
      </c>
      <c r="X115" s="4" t="s">
        <v>13</v>
      </c>
      <c r="Y115" s="6"/>
      <c r="Z115" s="4" t="s">
        <v>12</v>
      </c>
      <c r="AA115" s="6"/>
      <c r="AB115" s="6" t="s">
        <v>551</v>
      </c>
      <c r="AC115" s="6" t="s">
        <v>552</v>
      </c>
    </row>
    <row r="116" spans="1:29" ht="26" x14ac:dyDescent="0.35">
      <c r="A116" s="2">
        <v>1325</v>
      </c>
      <c r="B116" s="3" t="s">
        <v>51</v>
      </c>
      <c r="C116" s="3" t="s">
        <v>75</v>
      </c>
      <c r="D116" s="3" t="s">
        <v>86</v>
      </c>
      <c r="E116" s="3" t="s">
        <v>76</v>
      </c>
      <c r="F116" s="3" t="s">
        <v>77</v>
      </c>
      <c r="G116" s="3" t="s">
        <v>78</v>
      </c>
      <c r="H116" s="3" t="s">
        <v>78</v>
      </c>
      <c r="I116" s="3" t="s">
        <v>2</v>
      </c>
      <c r="J116" s="3" t="s">
        <v>58</v>
      </c>
      <c r="K116" s="4" t="s">
        <v>12</v>
      </c>
      <c r="L116" s="5"/>
      <c r="M116" s="6"/>
      <c r="N116" s="4" t="s">
        <v>9</v>
      </c>
      <c r="O116" s="6" t="s">
        <v>553</v>
      </c>
      <c r="P116" s="7"/>
      <c r="Q116" s="6"/>
      <c r="R116" s="5"/>
      <c r="S116" s="6"/>
      <c r="T116" s="5"/>
      <c r="U116" s="6"/>
      <c r="V116" s="5"/>
      <c r="W116" s="6"/>
      <c r="X116" s="4" t="s">
        <v>11</v>
      </c>
      <c r="Y116" s="6" t="s">
        <v>554</v>
      </c>
      <c r="Z116" s="4" t="s">
        <v>12</v>
      </c>
      <c r="AA116" s="6" t="s">
        <v>555</v>
      </c>
      <c r="AB116" s="6" t="s">
        <v>556</v>
      </c>
      <c r="AC116" s="6" t="s">
        <v>557</v>
      </c>
    </row>
    <row r="117" spans="1:29" ht="26" x14ac:dyDescent="0.35">
      <c r="A117" s="2">
        <v>1152</v>
      </c>
      <c r="B117" s="3" t="s">
        <v>51</v>
      </c>
      <c r="C117" s="3" t="s">
        <v>52</v>
      </c>
      <c r="D117" s="3" t="s">
        <v>86</v>
      </c>
      <c r="E117" s="3" t="s">
        <v>191</v>
      </c>
      <c r="F117" s="3" t="s">
        <v>97</v>
      </c>
      <c r="G117" s="3" t="s">
        <v>78</v>
      </c>
      <c r="H117" s="3" t="s">
        <v>78</v>
      </c>
      <c r="I117" s="3" t="s">
        <v>4</v>
      </c>
      <c r="J117" s="3" t="s">
        <v>58</v>
      </c>
      <c r="K117" s="4" t="s">
        <v>13</v>
      </c>
      <c r="L117" s="5"/>
      <c r="M117" s="6"/>
      <c r="N117" s="5"/>
      <c r="O117" s="6"/>
      <c r="P117" s="7"/>
      <c r="Q117" s="6"/>
      <c r="R117" s="4" t="s">
        <v>13</v>
      </c>
      <c r="S117" s="6"/>
      <c r="T117" s="4" t="s">
        <v>14</v>
      </c>
      <c r="U117" s="6"/>
      <c r="V117" s="5"/>
      <c r="W117" s="6"/>
      <c r="X117" s="4" t="s">
        <v>14</v>
      </c>
      <c r="Y117" s="6"/>
      <c r="Z117" s="4" t="s">
        <v>14</v>
      </c>
      <c r="AA117" s="6" t="s">
        <v>558</v>
      </c>
      <c r="AB117" s="6"/>
      <c r="AC117" s="6" t="s">
        <v>559</v>
      </c>
    </row>
    <row r="118" spans="1:29" ht="39" hidden="1" x14ac:dyDescent="0.35">
      <c r="A118" s="2">
        <v>1155</v>
      </c>
      <c r="B118" s="3" t="s">
        <v>108</v>
      </c>
      <c r="C118" s="3" t="s">
        <v>52</v>
      </c>
      <c r="D118" s="3" t="s">
        <v>86</v>
      </c>
      <c r="E118" s="3" t="s">
        <v>191</v>
      </c>
      <c r="F118" s="3" t="s">
        <v>97</v>
      </c>
      <c r="G118" s="3" t="s">
        <v>78</v>
      </c>
      <c r="H118" s="3" t="s">
        <v>78</v>
      </c>
      <c r="I118" s="3" t="s">
        <v>57</v>
      </c>
      <c r="J118" s="3" t="s">
        <v>58</v>
      </c>
      <c r="K118" s="4" t="s">
        <v>14</v>
      </c>
      <c r="L118" s="4" t="s">
        <v>59</v>
      </c>
      <c r="M118" s="6"/>
      <c r="N118" s="5"/>
      <c r="O118" s="6"/>
      <c r="P118" s="7"/>
      <c r="Q118" s="6"/>
      <c r="R118" s="4" t="s">
        <v>11</v>
      </c>
      <c r="S118" s="6" t="s">
        <v>560</v>
      </c>
      <c r="T118" s="5"/>
      <c r="U118" s="6"/>
      <c r="V118" s="4" t="s">
        <v>13</v>
      </c>
      <c r="W118" s="6"/>
      <c r="X118" s="4" t="s">
        <v>59</v>
      </c>
      <c r="Y118" s="6"/>
      <c r="Z118" s="4" t="s">
        <v>15</v>
      </c>
      <c r="AA118" s="6" t="s">
        <v>561</v>
      </c>
      <c r="AB118" s="6" t="s">
        <v>562</v>
      </c>
      <c r="AC118" s="6" t="s">
        <v>563</v>
      </c>
    </row>
    <row r="119" spans="1:29" ht="65" hidden="1" x14ac:dyDescent="0.35">
      <c r="A119" s="2">
        <v>1159</v>
      </c>
      <c r="B119" s="3" t="s">
        <v>108</v>
      </c>
      <c r="C119" s="3" t="s">
        <v>52</v>
      </c>
      <c r="D119" s="3" t="s">
        <v>86</v>
      </c>
      <c r="E119" s="3" t="s">
        <v>64</v>
      </c>
      <c r="F119" s="3" t="s">
        <v>65</v>
      </c>
      <c r="G119" s="3" t="s">
        <v>115</v>
      </c>
      <c r="H119" s="3" t="s">
        <v>115</v>
      </c>
      <c r="I119" s="3" t="s">
        <v>57</v>
      </c>
      <c r="J119" s="3" t="s">
        <v>58</v>
      </c>
      <c r="K119" s="4" t="s">
        <v>13</v>
      </c>
      <c r="L119" s="4" t="s">
        <v>13</v>
      </c>
      <c r="M119" s="6"/>
      <c r="N119" s="4" t="s">
        <v>12</v>
      </c>
      <c r="O119" s="6" t="s">
        <v>564</v>
      </c>
      <c r="P119" s="7"/>
      <c r="Q119" s="6"/>
      <c r="R119" s="4" t="s">
        <v>11</v>
      </c>
      <c r="S119" s="6" t="s">
        <v>565</v>
      </c>
      <c r="T119" s="4" t="s">
        <v>13</v>
      </c>
      <c r="U119" s="6"/>
      <c r="V119" s="4" t="s">
        <v>14</v>
      </c>
      <c r="W119" s="6"/>
      <c r="X119" s="4" t="s">
        <v>12</v>
      </c>
      <c r="Y119" s="6" t="s">
        <v>566</v>
      </c>
      <c r="Z119" s="4" t="s">
        <v>13</v>
      </c>
      <c r="AA119" s="6" t="s">
        <v>567</v>
      </c>
      <c r="AB119" s="6" t="s">
        <v>568</v>
      </c>
      <c r="AC119" s="6" t="s">
        <v>569</v>
      </c>
    </row>
    <row r="120" spans="1:29" ht="65" x14ac:dyDescent="0.35">
      <c r="A120" s="2">
        <v>879</v>
      </c>
      <c r="B120" s="3" t="s">
        <v>51</v>
      </c>
      <c r="C120" s="3" t="s">
        <v>75</v>
      </c>
      <c r="D120" s="3" t="s">
        <v>86</v>
      </c>
      <c r="E120" s="3" t="s">
        <v>202</v>
      </c>
      <c r="F120" s="3" t="s">
        <v>65</v>
      </c>
      <c r="G120" s="3" t="s">
        <v>226</v>
      </c>
      <c r="H120" s="3" t="s">
        <v>226</v>
      </c>
      <c r="I120" s="3" t="s">
        <v>2</v>
      </c>
      <c r="J120" s="3" t="s">
        <v>58</v>
      </c>
      <c r="K120" s="4" t="s">
        <v>12</v>
      </c>
      <c r="L120" s="5"/>
      <c r="M120" s="6"/>
      <c r="N120" s="4" t="s">
        <v>12</v>
      </c>
      <c r="O120" s="6" t="s">
        <v>570</v>
      </c>
      <c r="P120" s="7"/>
      <c r="Q120" s="6"/>
      <c r="R120" s="4" t="s">
        <v>9</v>
      </c>
      <c r="S120" s="6" t="s">
        <v>571</v>
      </c>
      <c r="T120" s="4" t="s">
        <v>13</v>
      </c>
      <c r="U120" s="6"/>
      <c r="V120" s="4" t="s">
        <v>13</v>
      </c>
      <c r="W120" s="6"/>
      <c r="X120" s="4" t="s">
        <v>14</v>
      </c>
      <c r="Y120" s="6"/>
      <c r="Z120" s="4" t="s">
        <v>11</v>
      </c>
      <c r="AA120" s="6" t="s">
        <v>572</v>
      </c>
      <c r="AB120" s="6" t="s">
        <v>573</v>
      </c>
      <c r="AC120" s="6" t="s">
        <v>574</v>
      </c>
    </row>
    <row r="121" spans="1:29" ht="26" x14ac:dyDescent="0.35">
      <c r="A121" s="2">
        <v>1165</v>
      </c>
      <c r="B121" s="3" t="s">
        <v>51</v>
      </c>
      <c r="C121" s="3" t="s">
        <v>75</v>
      </c>
      <c r="D121" s="3" t="s">
        <v>86</v>
      </c>
      <c r="E121" s="3" t="s">
        <v>76</v>
      </c>
      <c r="F121" s="3" t="s">
        <v>77</v>
      </c>
      <c r="G121" s="3" t="s">
        <v>78</v>
      </c>
      <c r="H121" s="3" t="s">
        <v>78</v>
      </c>
      <c r="I121" s="3" t="s">
        <v>4</v>
      </c>
      <c r="J121" s="3" t="s">
        <v>58</v>
      </c>
      <c r="K121" s="4" t="s">
        <v>9</v>
      </c>
      <c r="L121" s="5"/>
      <c r="M121" s="6"/>
      <c r="N121" s="5"/>
      <c r="O121" s="6"/>
      <c r="P121" s="7"/>
      <c r="Q121" s="6"/>
      <c r="R121" s="5"/>
      <c r="S121" s="6"/>
      <c r="T121" s="5"/>
      <c r="U121" s="6"/>
      <c r="V121" s="4" t="s">
        <v>11</v>
      </c>
      <c r="W121" s="6" t="s">
        <v>575</v>
      </c>
      <c r="X121" s="4" t="s">
        <v>11</v>
      </c>
      <c r="Y121" s="6" t="s">
        <v>576</v>
      </c>
      <c r="Z121" s="4" t="s">
        <v>8</v>
      </c>
      <c r="AA121" s="6" t="s">
        <v>577</v>
      </c>
      <c r="AB121" s="6" t="s">
        <v>578</v>
      </c>
      <c r="AC121" s="6" t="s">
        <v>579</v>
      </c>
    </row>
    <row r="122" spans="1:29" ht="39" hidden="1" x14ac:dyDescent="0.35">
      <c r="A122" s="2">
        <v>1169</v>
      </c>
      <c r="B122" s="3" t="s">
        <v>108</v>
      </c>
      <c r="C122" s="3" t="s">
        <v>52</v>
      </c>
      <c r="D122" s="3" t="s">
        <v>53</v>
      </c>
      <c r="E122" s="3" t="s">
        <v>54</v>
      </c>
      <c r="F122" s="3" t="s">
        <v>55</v>
      </c>
      <c r="G122" s="3" t="s">
        <v>115</v>
      </c>
      <c r="H122" s="3" t="s">
        <v>115</v>
      </c>
      <c r="I122" s="3" t="s">
        <v>127</v>
      </c>
      <c r="J122" s="3" t="s">
        <v>58</v>
      </c>
      <c r="K122" s="4" t="s">
        <v>13</v>
      </c>
      <c r="L122" s="4" t="s">
        <v>14</v>
      </c>
      <c r="M122" s="6"/>
      <c r="N122" s="4" t="s">
        <v>13</v>
      </c>
      <c r="O122" s="6"/>
      <c r="P122" s="3" t="s">
        <v>109</v>
      </c>
      <c r="Q122" s="6" t="s">
        <v>580</v>
      </c>
      <c r="R122" s="4" t="s">
        <v>11</v>
      </c>
      <c r="S122" s="6" t="s">
        <v>581</v>
      </c>
      <c r="T122" s="4" t="s">
        <v>14</v>
      </c>
      <c r="U122" s="6"/>
      <c r="V122" s="4" t="s">
        <v>11</v>
      </c>
      <c r="W122" s="6" t="s">
        <v>582</v>
      </c>
      <c r="X122" s="4" t="s">
        <v>12</v>
      </c>
      <c r="Y122" s="6" t="s">
        <v>583</v>
      </c>
      <c r="Z122" s="4" t="s">
        <v>16</v>
      </c>
      <c r="AA122" s="6" t="s">
        <v>584</v>
      </c>
      <c r="AB122" s="6" t="s">
        <v>585</v>
      </c>
      <c r="AC122" s="6" t="s">
        <v>586</v>
      </c>
    </row>
    <row r="123" spans="1:29" ht="39" x14ac:dyDescent="0.35">
      <c r="A123" s="2">
        <v>1171</v>
      </c>
      <c r="B123" s="3" t="s">
        <v>51</v>
      </c>
      <c r="C123" s="3" t="s">
        <v>52</v>
      </c>
      <c r="D123" s="3" t="s">
        <v>86</v>
      </c>
      <c r="E123" s="3" t="s">
        <v>87</v>
      </c>
      <c r="F123" s="3" t="s">
        <v>77</v>
      </c>
      <c r="G123" s="3" t="s">
        <v>103</v>
      </c>
      <c r="H123" s="3" t="s">
        <v>104</v>
      </c>
      <c r="I123" s="3" t="s">
        <v>4</v>
      </c>
      <c r="J123" s="3" t="s">
        <v>88</v>
      </c>
      <c r="K123" s="4" t="s">
        <v>13</v>
      </c>
      <c r="L123" s="5"/>
      <c r="M123" s="6"/>
      <c r="N123" s="5"/>
      <c r="O123" s="6"/>
      <c r="P123" s="7"/>
      <c r="Q123" s="6"/>
      <c r="R123" s="4" t="s">
        <v>13</v>
      </c>
      <c r="S123" s="6"/>
      <c r="T123" s="4" t="s">
        <v>14</v>
      </c>
      <c r="U123" s="6"/>
      <c r="V123" s="4" t="s">
        <v>14</v>
      </c>
      <c r="W123" s="6"/>
      <c r="X123" s="4" t="s">
        <v>13</v>
      </c>
      <c r="Y123" s="6"/>
      <c r="Z123" s="4" t="s">
        <v>13</v>
      </c>
      <c r="AA123" s="6" t="s">
        <v>587</v>
      </c>
      <c r="AB123" s="6" t="s">
        <v>588</v>
      </c>
      <c r="AC123" s="6" t="s">
        <v>589</v>
      </c>
    </row>
    <row r="124" spans="1:29" ht="52" hidden="1" x14ac:dyDescent="0.35">
      <c r="A124" s="2">
        <v>1111</v>
      </c>
      <c r="B124" s="3" t="s">
        <v>108</v>
      </c>
      <c r="C124" s="3" t="s">
        <v>52</v>
      </c>
      <c r="D124" s="3" t="s">
        <v>53</v>
      </c>
      <c r="E124" s="3" t="s">
        <v>64</v>
      </c>
      <c r="F124" s="3" t="s">
        <v>65</v>
      </c>
      <c r="G124" s="3" t="s">
        <v>115</v>
      </c>
      <c r="H124" s="3" t="s">
        <v>115</v>
      </c>
      <c r="I124" s="3" t="s">
        <v>2</v>
      </c>
      <c r="J124" s="3" t="s">
        <v>58</v>
      </c>
      <c r="K124" s="4" t="s">
        <v>10</v>
      </c>
      <c r="L124" s="5"/>
      <c r="M124" s="6"/>
      <c r="N124" s="5"/>
      <c r="O124" s="6"/>
      <c r="P124" s="7"/>
      <c r="Q124" s="6"/>
      <c r="R124" s="4" t="s">
        <v>11</v>
      </c>
      <c r="S124" s="6" t="s">
        <v>590</v>
      </c>
      <c r="T124" s="4" t="s">
        <v>9</v>
      </c>
      <c r="U124" s="6" t="s">
        <v>591</v>
      </c>
      <c r="V124" s="4" t="s">
        <v>10</v>
      </c>
      <c r="W124" s="6" t="s">
        <v>592</v>
      </c>
      <c r="X124" s="4" t="s">
        <v>15</v>
      </c>
      <c r="Y124" s="6"/>
      <c r="Z124" s="4" t="s">
        <v>11</v>
      </c>
      <c r="AA124" s="6" t="s">
        <v>593</v>
      </c>
      <c r="AB124" s="6" t="s">
        <v>594</v>
      </c>
      <c r="AC124" s="6" t="s">
        <v>595</v>
      </c>
    </row>
    <row r="125" spans="1:29" ht="52" hidden="1" x14ac:dyDescent="0.35">
      <c r="A125" s="2">
        <v>1160</v>
      </c>
      <c r="B125" s="3" t="s">
        <v>108</v>
      </c>
      <c r="C125" s="3" t="s">
        <v>75</v>
      </c>
      <c r="D125" s="3" t="s">
        <v>86</v>
      </c>
      <c r="E125" s="3" t="s">
        <v>76</v>
      </c>
      <c r="F125" s="3" t="s">
        <v>77</v>
      </c>
      <c r="G125" s="3" t="s">
        <v>78</v>
      </c>
      <c r="H125" s="3" t="s">
        <v>78</v>
      </c>
      <c r="I125" s="3" t="s">
        <v>2</v>
      </c>
      <c r="J125" s="3" t="s">
        <v>58</v>
      </c>
      <c r="K125" s="4" t="s">
        <v>9</v>
      </c>
      <c r="L125" s="5"/>
      <c r="M125" s="6"/>
      <c r="N125" s="4" t="s">
        <v>59</v>
      </c>
      <c r="O125" s="6"/>
      <c r="P125" s="7"/>
      <c r="Q125" s="6"/>
      <c r="R125" s="5"/>
      <c r="S125" s="6"/>
      <c r="T125" s="4" t="s">
        <v>8</v>
      </c>
      <c r="U125" s="6" t="s">
        <v>596</v>
      </c>
      <c r="V125" s="4" t="s">
        <v>11</v>
      </c>
      <c r="W125" s="6" t="s">
        <v>597</v>
      </c>
      <c r="X125" s="4" t="s">
        <v>9</v>
      </c>
      <c r="Y125" s="6" t="s">
        <v>598</v>
      </c>
      <c r="Z125" s="4" t="s">
        <v>11</v>
      </c>
      <c r="AA125" s="6" t="s">
        <v>599</v>
      </c>
      <c r="AB125" s="6" t="s">
        <v>600</v>
      </c>
      <c r="AC125" s="6" t="s">
        <v>601</v>
      </c>
    </row>
    <row r="126" spans="1:29" ht="39" hidden="1" x14ac:dyDescent="0.35">
      <c r="A126" s="2">
        <v>1278</v>
      </c>
      <c r="B126" s="3" t="s">
        <v>108</v>
      </c>
      <c r="C126" s="3" t="s">
        <v>52</v>
      </c>
      <c r="D126" s="3" t="s">
        <v>53</v>
      </c>
      <c r="E126" s="3" t="s">
        <v>87</v>
      </c>
      <c r="F126" s="3" t="s">
        <v>77</v>
      </c>
      <c r="G126" s="3" t="s">
        <v>103</v>
      </c>
      <c r="H126" s="3" t="s">
        <v>104</v>
      </c>
      <c r="I126" s="3" t="s">
        <v>2</v>
      </c>
      <c r="J126" s="3" t="s">
        <v>58</v>
      </c>
      <c r="K126" s="4" t="s">
        <v>13</v>
      </c>
      <c r="L126" s="4" t="s">
        <v>59</v>
      </c>
      <c r="M126" s="6"/>
      <c r="N126" s="4" t="s">
        <v>14</v>
      </c>
      <c r="O126" s="6"/>
      <c r="P126" s="3" t="s">
        <v>79</v>
      </c>
      <c r="Q126" s="6"/>
      <c r="R126" s="5"/>
      <c r="S126" s="6"/>
      <c r="T126" s="5"/>
      <c r="U126" s="6"/>
      <c r="V126" s="4" t="s">
        <v>8</v>
      </c>
      <c r="W126" s="6" t="s">
        <v>602</v>
      </c>
      <c r="X126" s="4" t="s">
        <v>13</v>
      </c>
      <c r="Y126" s="6"/>
      <c r="Z126" s="4" t="s">
        <v>11</v>
      </c>
      <c r="AA126" s="6" t="s">
        <v>603</v>
      </c>
      <c r="AB126" s="6" t="s">
        <v>604</v>
      </c>
      <c r="AC126" s="6" t="s">
        <v>605</v>
      </c>
    </row>
    <row r="127" spans="1:29" ht="39" x14ac:dyDescent="0.35">
      <c r="A127" s="2">
        <v>1302</v>
      </c>
      <c r="B127" s="3" t="s">
        <v>51</v>
      </c>
      <c r="C127" s="3" t="s">
        <v>52</v>
      </c>
      <c r="D127" s="3" t="s">
        <v>86</v>
      </c>
      <c r="E127" s="3" t="s">
        <v>54</v>
      </c>
      <c r="F127" s="3" t="s">
        <v>55</v>
      </c>
      <c r="G127" s="3" t="s">
        <v>56</v>
      </c>
      <c r="H127" s="3" t="s">
        <v>56</v>
      </c>
      <c r="I127" s="3" t="s">
        <v>2</v>
      </c>
      <c r="J127" s="3" t="s">
        <v>58</v>
      </c>
      <c r="K127" s="4" t="s">
        <v>13</v>
      </c>
      <c r="L127" s="4" t="s">
        <v>14</v>
      </c>
      <c r="M127" s="6"/>
      <c r="N127" s="4" t="s">
        <v>10</v>
      </c>
      <c r="O127" s="6" t="s">
        <v>606</v>
      </c>
      <c r="P127" s="7"/>
      <c r="Q127" s="6"/>
      <c r="R127" s="4" t="s">
        <v>13</v>
      </c>
      <c r="S127" s="6"/>
      <c r="T127" s="4" t="s">
        <v>13</v>
      </c>
      <c r="U127" s="6"/>
      <c r="V127" s="4" t="s">
        <v>12</v>
      </c>
      <c r="W127" s="6" t="s">
        <v>607</v>
      </c>
      <c r="X127" s="4" t="s">
        <v>9</v>
      </c>
      <c r="Y127" s="6" t="s">
        <v>608</v>
      </c>
      <c r="Z127" s="4" t="s">
        <v>11</v>
      </c>
      <c r="AA127" s="6" t="s">
        <v>609</v>
      </c>
      <c r="AB127" s="6" t="s">
        <v>610</v>
      </c>
      <c r="AC127" s="6" t="s">
        <v>611</v>
      </c>
    </row>
    <row r="128" spans="1:29" ht="26" hidden="1" x14ac:dyDescent="0.35">
      <c r="A128" s="2">
        <v>1185</v>
      </c>
      <c r="B128" s="3" t="s">
        <v>108</v>
      </c>
      <c r="C128" s="3" t="s">
        <v>52</v>
      </c>
      <c r="D128" s="3" t="s">
        <v>53</v>
      </c>
      <c r="E128" s="3" t="s">
        <v>64</v>
      </c>
      <c r="F128" s="3" t="s">
        <v>65</v>
      </c>
      <c r="G128" s="3" t="s">
        <v>115</v>
      </c>
      <c r="H128" s="3" t="s">
        <v>115</v>
      </c>
      <c r="I128" s="3" t="s">
        <v>127</v>
      </c>
      <c r="J128" s="3" t="s">
        <v>58</v>
      </c>
      <c r="K128" s="4" t="s">
        <v>10</v>
      </c>
      <c r="L128" s="5"/>
      <c r="M128" s="6"/>
      <c r="N128" s="4" t="s">
        <v>14</v>
      </c>
      <c r="O128" s="6"/>
      <c r="P128" s="7"/>
      <c r="Q128" s="6"/>
      <c r="R128" s="4" t="s">
        <v>15</v>
      </c>
      <c r="S128" s="6"/>
      <c r="T128" s="4" t="s">
        <v>9</v>
      </c>
      <c r="U128" s="6" t="s">
        <v>612</v>
      </c>
      <c r="V128" s="4" t="s">
        <v>11</v>
      </c>
      <c r="W128" s="6" t="s">
        <v>613</v>
      </c>
      <c r="X128" s="4" t="s">
        <v>59</v>
      </c>
      <c r="Y128" s="6"/>
      <c r="Z128" s="4" t="s">
        <v>14</v>
      </c>
      <c r="AA128" s="6"/>
      <c r="AB128" s="6"/>
      <c r="AC128" s="6" t="s">
        <v>614</v>
      </c>
    </row>
    <row r="129" spans="1:29" ht="78" hidden="1" x14ac:dyDescent="0.35">
      <c r="A129" s="2">
        <v>976</v>
      </c>
      <c r="B129" s="3" t="s">
        <v>108</v>
      </c>
      <c r="C129" s="3" t="s">
        <v>52</v>
      </c>
      <c r="D129" s="3" t="s">
        <v>86</v>
      </c>
      <c r="E129" s="3" t="s">
        <v>54</v>
      </c>
      <c r="F129" s="3" t="s">
        <v>55</v>
      </c>
      <c r="G129" s="3" t="s">
        <v>56</v>
      </c>
      <c r="H129" s="3" t="s">
        <v>56</v>
      </c>
      <c r="I129" s="3" t="s">
        <v>2</v>
      </c>
      <c r="J129" s="3" t="s">
        <v>58</v>
      </c>
      <c r="K129" s="4" t="s">
        <v>10</v>
      </c>
      <c r="L129" s="4" t="s">
        <v>12</v>
      </c>
      <c r="M129" s="6" t="s">
        <v>615</v>
      </c>
      <c r="N129" s="5"/>
      <c r="O129" s="6"/>
      <c r="P129" s="7"/>
      <c r="Q129" s="6"/>
      <c r="R129" s="4" t="s">
        <v>14</v>
      </c>
      <c r="S129" s="6"/>
      <c r="T129" s="4" t="s">
        <v>9</v>
      </c>
      <c r="U129" s="6" t="s">
        <v>616</v>
      </c>
      <c r="V129" s="4" t="s">
        <v>12</v>
      </c>
      <c r="W129" s="6" t="s">
        <v>617</v>
      </c>
      <c r="X129" s="4" t="s">
        <v>12</v>
      </c>
      <c r="Y129" s="6" t="s">
        <v>618</v>
      </c>
      <c r="Z129" s="4" t="s">
        <v>10</v>
      </c>
      <c r="AA129" s="6" t="s">
        <v>619</v>
      </c>
      <c r="AB129" s="6" t="s">
        <v>620</v>
      </c>
      <c r="AC129" s="6" t="s">
        <v>621</v>
      </c>
    </row>
    <row r="130" spans="1:29" ht="26" x14ac:dyDescent="0.35">
      <c r="A130" s="2">
        <v>1187</v>
      </c>
      <c r="B130" s="3" t="s">
        <v>51</v>
      </c>
      <c r="C130" s="3" t="s">
        <v>75</v>
      </c>
      <c r="D130" s="3" t="s">
        <v>53</v>
      </c>
      <c r="E130" s="3" t="s">
        <v>202</v>
      </c>
      <c r="F130" s="3" t="s">
        <v>65</v>
      </c>
      <c r="G130" s="3" t="s">
        <v>226</v>
      </c>
      <c r="H130" s="3" t="s">
        <v>226</v>
      </c>
      <c r="I130" s="3" t="s">
        <v>127</v>
      </c>
      <c r="J130" s="3" t="s">
        <v>58</v>
      </c>
      <c r="K130" s="4" t="s">
        <v>12</v>
      </c>
      <c r="L130" s="4" t="s">
        <v>13</v>
      </c>
      <c r="M130" s="6"/>
      <c r="N130" s="4" t="s">
        <v>13</v>
      </c>
      <c r="O130" s="6"/>
      <c r="P130" s="7"/>
      <c r="Q130" s="6"/>
      <c r="R130" s="4" t="s">
        <v>13</v>
      </c>
      <c r="S130" s="6"/>
      <c r="T130" s="4" t="s">
        <v>12</v>
      </c>
      <c r="U130" s="6" t="s">
        <v>622</v>
      </c>
      <c r="V130" s="4" t="s">
        <v>12</v>
      </c>
      <c r="W130" s="6" t="s">
        <v>623</v>
      </c>
      <c r="X130" s="4" t="s">
        <v>12</v>
      </c>
      <c r="Y130" s="6" t="s">
        <v>624</v>
      </c>
      <c r="Z130" s="4" t="s">
        <v>13</v>
      </c>
      <c r="AA130" s="6" t="s">
        <v>625</v>
      </c>
      <c r="AB130" s="6" t="s">
        <v>626</v>
      </c>
      <c r="AC130" s="6" t="s">
        <v>627</v>
      </c>
    </row>
    <row r="131" spans="1:29" ht="52" x14ac:dyDescent="0.35">
      <c r="A131" s="2">
        <v>1191</v>
      </c>
      <c r="B131" s="3" t="s">
        <v>51</v>
      </c>
      <c r="C131" s="3" t="s">
        <v>52</v>
      </c>
      <c r="D131" s="3" t="s">
        <v>53</v>
      </c>
      <c r="E131" s="3" t="s">
        <v>64</v>
      </c>
      <c r="F131" s="3" t="s">
        <v>65</v>
      </c>
      <c r="G131" s="3" t="s">
        <v>115</v>
      </c>
      <c r="H131" s="3" t="s">
        <v>115</v>
      </c>
      <c r="I131" s="3" t="s">
        <v>4</v>
      </c>
      <c r="J131" s="3" t="s">
        <v>58</v>
      </c>
      <c r="K131" s="4" t="s">
        <v>10</v>
      </c>
      <c r="L131" s="5"/>
      <c r="M131" s="6"/>
      <c r="N131" s="4" t="s">
        <v>10</v>
      </c>
      <c r="O131" s="6" t="s">
        <v>628</v>
      </c>
      <c r="P131" s="3" t="s">
        <v>69</v>
      </c>
      <c r="Q131" s="6" t="s">
        <v>629</v>
      </c>
      <c r="R131" s="5"/>
      <c r="S131" s="6"/>
      <c r="T131" s="4" t="s">
        <v>128</v>
      </c>
      <c r="U131" s="6" t="s">
        <v>630</v>
      </c>
      <c r="V131" s="4" t="s">
        <v>9</v>
      </c>
      <c r="W131" s="6" t="s">
        <v>631</v>
      </c>
      <c r="X131" s="4" t="s">
        <v>11</v>
      </c>
      <c r="Y131" s="6" t="s">
        <v>632</v>
      </c>
      <c r="Z131" s="4" t="s">
        <v>7</v>
      </c>
      <c r="AA131" s="6" t="s">
        <v>633</v>
      </c>
      <c r="AB131" s="6" t="s">
        <v>634</v>
      </c>
      <c r="AC131" s="6" t="s">
        <v>635</v>
      </c>
    </row>
    <row r="132" spans="1:29" ht="26" x14ac:dyDescent="0.35">
      <c r="A132" s="2">
        <v>1195</v>
      </c>
      <c r="B132" s="3" t="s">
        <v>51</v>
      </c>
      <c r="C132" s="3" t="s">
        <v>52</v>
      </c>
      <c r="D132" s="3" t="s">
        <v>86</v>
      </c>
      <c r="E132" s="3" t="s">
        <v>64</v>
      </c>
      <c r="F132" s="3" t="s">
        <v>65</v>
      </c>
      <c r="G132" s="3" t="s">
        <v>115</v>
      </c>
      <c r="H132" s="3" t="s">
        <v>115</v>
      </c>
      <c r="I132" s="3" t="s">
        <v>4</v>
      </c>
      <c r="J132" s="3" t="s">
        <v>58</v>
      </c>
      <c r="K132" s="4" t="s">
        <v>59</v>
      </c>
      <c r="L132" s="4" t="s">
        <v>59</v>
      </c>
      <c r="M132" s="6"/>
      <c r="N132" s="4" t="s">
        <v>59</v>
      </c>
      <c r="O132" s="6"/>
      <c r="P132" s="7"/>
      <c r="Q132" s="6"/>
      <c r="R132" s="5"/>
      <c r="S132" s="6"/>
      <c r="T132" s="4" t="s">
        <v>11</v>
      </c>
      <c r="U132" s="6" t="s">
        <v>636</v>
      </c>
      <c r="V132" s="4" t="s">
        <v>59</v>
      </c>
      <c r="W132" s="6"/>
      <c r="X132" s="4" t="s">
        <v>59</v>
      </c>
      <c r="Y132" s="6"/>
      <c r="Z132" s="4" t="s">
        <v>16</v>
      </c>
      <c r="AA132" s="6" t="s">
        <v>637</v>
      </c>
      <c r="AB132" s="6" t="s">
        <v>638</v>
      </c>
      <c r="AC132" s="6" t="s">
        <v>639</v>
      </c>
    </row>
    <row r="133" spans="1:29" ht="26" hidden="1" x14ac:dyDescent="0.35">
      <c r="A133" s="2">
        <v>1201</v>
      </c>
      <c r="B133" s="3" t="s">
        <v>108</v>
      </c>
      <c r="C133" s="3" t="s">
        <v>52</v>
      </c>
      <c r="D133" s="3" t="s">
        <v>53</v>
      </c>
      <c r="E133" s="3" t="s">
        <v>64</v>
      </c>
      <c r="F133" s="3" t="s">
        <v>65</v>
      </c>
      <c r="G133" s="3" t="s">
        <v>115</v>
      </c>
      <c r="H133" s="3" t="s">
        <v>115</v>
      </c>
      <c r="I133" s="3" t="s">
        <v>57</v>
      </c>
      <c r="J133" s="3" t="s">
        <v>58</v>
      </c>
      <c r="K133" s="4" t="s">
        <v>10</v>
      </c>
      <c r="L133" s="5"/>
      <c r="M133" s="6"/>
      <c r="N133" s="4" t="s">
        <v>14</v>
      </c>
      <c r="O133" s="6"/>
      <c r="P133" s="3" t="s">
        <v>79</v>
      </c>
      <c r="Q133" s="6"/>
      <c r="R133" s="4" t="s">
        <v>11</v>
      </c>
      <c r="S133" s="6" t="s">
        <v>640</v>
      </c>
      <c r="T133" s="4" t="s">
        <v>8</v>
      </c>
      <c r="U133" s="6" t="s">
        <v>641</v>
      </c>
      <c r="V133" s="4" t="s">
        <v>9</v>
      </c>
      <c r="W133" s="6" t="s">
        <v>642</v>
      </c>
      <c r="X133" s="4" t="s">
        <v>13</v>
      </c>
      <c r="Y133" s="6"/>
      <c r="Z133" s="4" t="s">
        <v>7</v>
      </c>
      <c r="AA133" s="6" t="s">
        <v>643</v>
      </c>
      <c r="AB133" s="6" t="s">
        <v>644</v>
      </c>
      <c r="AC133" s="6" t="s">
        <v>645</v>
      </c>
    </row>
    <row r="134" spans="1:29" ht="78" x14ac:dyDescent="0.35">
      <c r="A134" s="2">
        <v>1068</v>
      </c>
      <c r="B134" s="3" t="s">
        <v>51</v>
      </c>
      <c r="C134" s="3" t="s">
        <v>52</v>
      </c>
      <c r="D134" s="3" t="s">
        <v>53</v>
      </c>
      <c r="E134" s="3" t="s">
        <v>54</v>
      </c>
      <c r="F134" s="3" t="s">
        <v>55</v>
      </c>
      <c r="G134" s="3" t="s">
        <v>56</v>
      </c>
      <c r="H134" s="3" t="s">
        <v>56</v>
      </c>
      <c r="I134" s="3" t="s">
        <v>2</v>
      </c>
      <c r="J134" s="3" t="s">
        <v>58</v>
      </c>
      <c r="K134" s="4" t="s">
        <v>11</v>
      </c>
      <c r="L134" s="5"/>
      <c r="M134" s="6"/>
      <c r="N134" s="4" t="s">
        <v>12</v>
      </c>
      <c r="O134" s="6" t="s">
        <v>646</v>
      </c>
      <c r="P134" s="7"/>
      <c r="Q134" s="6"/>
      <c r="R134" s="4" t="s">
        <v>13</v>
      </c>
      <c r="S134" s="6"/>
      <c r="T134" s="4" t="s">
        <v>15</v>
      </c>
      <c r="U134" s="6"/>
      <c r="V134" s="4" t="s">
        <v>14</v>
      </c>
      <c r="W134" s="6"/>
      <c r="X134" s="4" t="s">
        <v>12</v>
      </c>
      <c r="Y134" s="6" t="s">
        <v>647</v>
      </c>
      <c r="Z134" s="4" t="s">
        <v>10</v>
      </c>
      <c r="AA134" s="6" t="s">
        <v>648</v>
      </c>
      <c r="AB134" s="6" t="s">
        <v>649</v>
      </c>
      <c r="AC134" s="6" t="s">
        <v>650</v>
      </c>
    </row>
    <row r="135" spans="1:29" ht="65" x14ac:dyDescent="0.35">
      <c r="A135" s="2">
        <v>1205</v>
      </c>
      <c r="B135" s="3" t="s">
        <v>51</v>
      </c>
      <c r="C135" s="3" t="s">
        <v>52</v>
      </c>
      <c r="D135" s="3" t="s">
        <v>86</v>
      </c>
      <c r="E135" s="3" t="s">
        <v>64</v>
      </c>
      <c r="F135" s="3" t="s">
        <v>65</v>
      </c>
      <c r="G135" s="3" t="s">
        <v>115</v>
      </c>
      <c r="H135" s="3" t="s">
        <v>115</v>
      </c>
      <c r="I135" s="3" t="s">
        <v>4</v>
      </c>
      <c r="J135" s="3" t="s">
        <v>58</v>
      </c>
      <c r="K135" s="4" t="s">
        <v>13</v>
      </c>
      <c r="L135" s="5"/>
      <c r="M135" s="6"/>
      <c r="N135" s="4" t="s">
        <v>10</v>
      </c>
      <c r="O135" s="6" t="s">
        <v>651</v>
      </c>
      <c r="P135" s="3" t="s">
        <v>69</v>
      </c>
      <c r="Q135" s="6" t="s">
        <v>652</v>
      </c>
      <c r="R135" s="5"/>
      <c r="S135" s="6"/>
      <c r="T135" s="5"/>
      <c r="U135" s="6"/>
      <c r="V135" s="5"/>
      <c r="W135" s="6"/>
      <c r="X135" s="4" t="s">
        <v>12</v>
      </c>
      <c r="Y135" s="6" t="s">
        <v>653</v>
      </c>
      <c r="Z135" s="4" t="s">
        <v>11</v>
      </c>
      <c r="AA135" s="6" t="s">
        <v>654</v>
      </c>
      <c r="AB135" s="6" t="s">
        <v>655</v>
      </c>
      <c r="AC135" s="6" t="s">
        <v>656</v>
      </c>
    </row>
    <row r="136" spans="1:29" ht="52" x14ac:dyDescent="0.35">
      <c r="A136" s="2">
        <v>1116</v>
      </c>
      <c r="B136" s="3" t="s">
        <v>51</v>
      </c>
      <c r="C136" s="3" t="s">
        <v>75</v>
      </c>
      <c r="D136" s="3" t="s">
        <v>86</v>
      </c>
      <c r="E136" s="3" t="s">
        <v>202</v>
      </c>
      <c r="F136" s="3" t="s">
        <v>65</v>
      </c>
      <c r="G136" s="3" t="s">
        <v>56</v>
      </c>
      <c r="H136" s="3" t="s">
        <v>56</v>
      </c>
      <c r="I136" s="3" t="s">
        <v>2</v>
      </c>
      <c r="J136" s="3" t="s">
        <v>58</v>
      </c>
      <c r="K136" s="4" t="s">
        <v>10</v>
      </c>
      <c r="L136" s="5"/>
      <c r="M136" s="6"/>
      <c r="N136" s="4" t="s">
        <v>10</v>
      </c>
      <c r="O136" s="6" t="s">
        <v>657</v>
      </c>
      <c r="P136" s="7"/>
      <c r="Q136" s="6"/>
      <c r="R136" s="5"/>
      <c r="S136" s="6"/>
      <c r="T136" s="5"/>
      <c r="U136" s="6"/>
      <c r="V136" s="5"/>
      <c r="W136" s="6"/>
      <c r="X136" s="4" t="s">
        <v>9</v>
      </c>
      <c r="Y136" s="6" t="s">
        <v>658</v>
      </c>
      <c r="Z136" s="4" t="s">
        <v>10</v>
      </c>
      <c r="AA136" s="6" t="s">
        <v>659</v>
      </c>
      <c r="AB136" s="6" t="s">
        <v>660</v>
      </c>
      <c r="AC136" s="6" t="s">
        <v>661</v>
      </c>
    </row>
    <row r="137" spans="1:29" ht="91" hidden="1" x14ac:dyDescent="0.35">
      <c r="A137" s="2">
        <v>1301</v>
      </c>
      <c r="B137" s="3" t="s">
        <v>108</v>
      </c>
      <c r="C137" s="3" t="s">
        <v>52</v>
      </c>
      <c r="D137" s="3" t="s">
        <v>53</v>
      </c>
      <c r="E137" s="3" t="s">
        <v>64</v>
      </c>
      <c r="F137" s="3" t="s">
        <v>65</v>
      </c>
      <c r="G137" s="3" t="s">
        <v>66</v>
      </c>
      <c r="H137" s="3" t="s">
        <v>67</v>
      </c>
      <c r="I137" s="3" t="s">
        <v>2</v>
      </c>
      <c r="J137" s="3" t="s">
        <v>58</v>
      </c>
      <c r="K137" s="4" t="s">
        <v>13</v>
      </c>
      <c r="L137" s="5"/>
      <c r="M137" s="6"/>
      <c r="N137" s="4" t="s">
        <v>11</v>
      </c>
      <c r="O137" s="6" t="s">
        <v>662</v>
      </c>
      <c r="P137" s="3" t="s">
        <v>69</v>
      </c>
      <c r="Q137" s="6" t="s">
        <v>663</v>
      </c>
      <c r="R137" s="4" t="s">
        <v>14</v>
      </c>
      <c r="S137" s="6"/>
      <c r="T137" s="4" t="s">
        <v>12</v>
      </c>
      <c r="U137" s="6" t="s">
        <v>664</v>
      </c>
      <c r="V137" s="5"/>
      <c r="W137" s="6"/>
      <c r="X137" s="4" t="s">
        <v>14</v>
      </c>
      <c r="Y137" s="6"/>
      <c r="Z137" s="4" t="s">
        <v>10</v>
      </c>
      <c r="AA137" s="6" t="s">
        <v>665</v>
      </c>
      <c r="AB137" s="6" t="s">
        <v>666</v>
      </c>
      <c r="AC137" s="6" t="s">
        <v>667</v>
      </c>
    </row>
    <row r="138" spans="1:29" ht="26" x14ac:dyDescent="0.35">
      <c r="A138" s="2">
        <v>1216</v>
      </c>
      <c r="B138" s="3" t="s">
        <v>51</v>
      </c>
      <c r="C138" s="3" t="s">
        <v>75</v>
      </c>
      <c r="D138" s="3" t="s">
        <v>86</v>
      </c>
      <c r="E138" s="3" t="s">
        <v>76</v>
      </c>
      <c r="F138" s="3" t="s">
        <v>77</v>
      </c>
      <c r="G138" s="3" t="s">
        <v>78</v>
      </c>
      <c r="H138" s="3" t="s">
        <v>78</v>
      </c>
      <c r="I138" s="3" t="s">
        <v>4</v>
      </c>
      <c r="J138" s="3" t="s">
        <v>88</v>
      </c>
      <c r="K138" s="4" t="s">
        <v>59</v>
      </c>
      <c r="L138" s="5"/>
      <c r="M138" s="6"/>
      <c r="N138" s="4" t="s">
        <v>59</v>
      </c>
      <c r="O138" s="6"/>
      <c r="P138" s="7"/>
      <c r="Q138" s="6"/>
      <c r="R138" s="5"/>
      <c r="S138" s="6"/>
      <c r="T138" s="4" t="s">
        <v>59</v>
      </c>
      <c r="U138" s="6"/>
      <c r="V138" s="4" t="s">
        <v>59</v>
      </c>
      <c r="W138" s="6"/>
      <c r="X138" s="4" t="s">
        <v>59</v>
      </c>
      <c r="Y138" s="6"/>
      <c r="Z138" s="4" t="s">
        <v>16</v>
      </c>
      <c r="AA138" s="6" t="s">
        <v>668</v>
      </c>
      <c r="AB138" s="6" t="s">
        <v>669</v>
      </c>
      <c r="AC138" s="6" t="s">
        <v>670</v>
      </c>
    </row>
    <row r="139" spans="1:29" ht="39" hidden="1" x14ac:dyDescent="0.35">
      <c r="A139" s="2">
        <v>1217</v>
      </c>
      <c r="B139" s="3" t="s">
        <v>108</v>
      </c>
      <c r="C139" s="3" t="s">
        <v>52</v>
      </c>
      <c r="D139" s="3" t="s">
        <v>53</v>
      </c>
      <c r="E139" s="3" t="s">
        <v>87</v>
      </c>
      <c r="F139" s="3" t="s">
        <v>77</v>
      </c>
      <c r="G139" s="3" t="s">
        <v>103</v>
      </c>
      <c r="H139" s="3" t="s">
        <v>104</v>
      </c>
      <c r="I139" s="3" t="s">
        <v>4</v>
      </c>
      <c r="J139" s="3" t="s">
        <v>88</v>
      </c>
      <c r="K139" s="4" t="s">
        <v>14</v>
      </c>
      <c r="L139" s="4" t="s">
        <v>59</v>
      </c>
      <c r="M139" s="6"/>
      <c r="N139" s="4" t="s">
        <v>14</v>
      </c>
      <c r="O139" s="6"/>
      <c r="P139" s="7"/>
      <c r="Q139" s="6"/>
      <c r="R139" s="5"/>
      <c r="S139" s="6"/>
      <c r="T139" s="5"/>
      <c r="U139" s="6"/>
      <c r="V139" s="5"/>
      <c r="W139" s="6"/>
      <c r="X139" s="4" t="s">
        <v>59</v>
      </c>
      <c r="Y139" s="6"/>
      <c r="Z139" s="4" t="s">
        <v>13</v>
      </c>
      <c r="AA139" s="6" t="s">
        <v>671</v>
      </c>
      <c r="AB139" s="6" t="s">
        <v>672</v>
      </c>
      <c r="AC139" s="6" t="s">
        <v>673</v>
      </c>
    </row>
    <row r="140" spans="1:29" ht="39" hidden="1" x14ac:dyDescent="0.35">
      <c r="A140" s="2">
        <v>1056</v>
      </c>
      <c r="B140" s="3" t="s">
        <v>108</v>
      </c>
      <c r="C140" s="3" t="s">
        <v>75</v>
      </c>
      <c r="D140" s="3" t="s">
        <v>53</v>
      </c>
      <c r="E140" s="3" t="s">
        <v>76</v>
      </c>
      <c r="F140" s="3" t="s">
        <v>77</v>
      </c>
      <c r="G140" s="3" t="s">
        <v>78</v>
      </c>
      <c r="H140" s="3" t="s">
        <v>78</v>
      </c>
      <c r="I140" s="3" t="s">
        <v>2</v>
      </c>
      <c r="J140" s="3" t="s">
        <v>58</v>
      </c>
      <c r="K140" s="4" t="s">
        <v>8</v>
      </c>
      <c r="L140" s="5"/>
      <c r="M140" s="6"/>
      <c r="N140" s="4" t="s">
        <v>8</v>
      </c>
      <c r="O140" s="6" t="s">
        <v>674</v>
      </c>
      <c r="P140" s="7"/>
      <c r="Q140" s="6"/>
      <c r="R140" s="5"/>
      <c r="S140" s="6"/>
      <c r="T140" s="4" t="s">
        <v>10</v>
      </c>
      <c r="U140" s="6" t="s">
        <v>675</v>
      </c>
      <c r="V140" s="4" t="s">
        <v>14</v>
      </c>
      <c r="W140" s="6"/>
      <c r="X140" s="4" t="s">
        <v>12</v>
      </c>
      <c r="Y140" s="6" t="s">
        <v>676</v>
      </c>
      <c r="Z140" s="4" t="s">
        <v>9</v>
      </c>
      <c r="AA140" s="6" t="s">
        <v>677</v>
      </c>
      <c r="AB140" s="6" t="s">
        <v>678</v>
      </c>
      <c r="AC140" s="6" t="s">
        <v>679</v>
      </c>
    </row>
    <row r="141" spans="1:29" ht="65" hidden="1" x14ac:dyDescent="0.35">
      <c r="A141" s="2">
        <v>1223</v>
      </c>
      <c r="B141" s="3" t="s">
        <v>108</v>
      </c>
      <c r="C141" s="3" t="s">
        <v>52</v>
      </c>
      <c r="D141" s="3" t="s">
        <v>53</v>
      </c>
      <c r="E141" s="3" t="s">
        <v>191</v>
      </c>
      <c r="F141" s="3" t="s">
        <v>97</v>
      </c>
      <c r="G141" s="3" t="s">
        <v>78</v>
      </c>
      <c r="H141" s="3" t="s">
        <v>78</v>
      </c>
      <c r="I141" s="3" t="s">
        <v>57</v>
      </c>
      <c r="J141" s="3" t="s">
        <v>58</v>
      </c>
      <c r="K141" s="4" t="s">
        <v>11</v>
      </c>
      <c r="L141" s="4" t="s">
        <v>59</v>
      </c>
      <c r="M141" s="6"/>
      <c r="N141" s="4" t="s">
        <v>13</v>
      </c>
      <c r="O141" s="6"/>
      <c r="P141" s="7"/>
      <c r="Q141" s="6"/>
      <c r="R141" s="4" t="s">
        <v>11</v>
      </c>
      <c r="S141" s="6" t="s">
        <v>680</v>
      </c>
      <c r="T141" s="4" t="s">
        <v>14</v>
      </c>
      <c r="U141" s="6"/>
      <c r="V141" s="4" t="s">
        <v>14</v>
      </c>
      <c r="W141" s="6"/>
      <c r="X141" s="4" t="s">
        <v>15</v>
      </c>
      <c r="Y141" s="6"/>
      <c r="Z141" s="4" t="s">
        <v>13</v>
      </c>
      <c r="AA141" s="6" t="s">
        <v>681</v>
      </c>
      <c r="AB141" s="6" t="s">
        <v>682</v>
      </c>
      <c r="AC141" s="6" t="s">
        <v>683</v>
      </c>
    </row>
    <row r="142" spans="1:29" ht="78" hidden="1" x14ac:dyDescent="0.35">
      <c r="A142" s="2">
        <v>1227</v>
      </c>
      <c r="B142" s="3" t="s">
        <v>108</v>
      </c>
      <c r="C142" s="3" t="s">
        <v>75</v>
      </c>
      <c r="D142" s="3" t="s">
        <v>53</v>
      </c>
      <c r="E142" s="3" t="s">
        <v>76</v>
      </c>
      <c r="F142" s="3" t="s">
        <v>77</v>
      </c>
      <c r="G142" s="3" t="s">
        <v>78</v>
      </c>
      <c r="H142" s="3" t="s">
        <v>78</v>
      </c>
      <c r="I142" s="3" t="s">
        <v>4</v>
      </c>
      <c r="J142" s="3" t="s">
        <v>58</v>
      </c>
      <c r="K142" s="4" t="s">
        <v>59</v>
      </c>
      <c r="L142" s="5"/>
      <c r="M142" s="6"/>
      <c r="N142" s="5"/>
      <c r="O142" s="6"/>
      <c r="P142" s="7"/>
      <c r="Q142" s="6"/>
      <c r="R142" s="5"/>
      <c r="S142" s="6"/>
      <c r="T142" s="4" t="s">
        <v>59</v>
      </c>
      <c r="U142" s="6"/>
      <c r="V142" s="4" t="s">
        <v>15</v>
      </c>
      <c r="W142" s="6"/>
      <c r="X142" s="4" t="s">
        <v>59</v>
      </c>
      <c r="Y142" s="6"/>
      <c r="Z142" s="4" t="s">
        <v>16</v>
      </c>
      <c r="AA142" s="6" t="s">
        <v>684</v>
      </c>
      <c r="AB142" s="6" t="s">
        <v>685</v>
      </c>
      <c r="AC142" s="6" t="s">
        <v>686</v>
      </c>
    </row>
    <row r="143" spans="1:29" ht="26" x14ac:dyDescent="0.35">
      <c r="A143" s="2">
        <v>1230</v>
      </c>
      <c r="B143" s="3" t="s">
        <v>51</v>
      </c>
      <c r="C143" s="3" t="s">
        <v>52</v>
      </c>
      <c r="D143" s="3" t="s">
        <v>86</v>
      </c>
      <c r="E143" s="3" t="s">
        <v>54</v>
      </c>
      <c r="F143" s="3" t="s">
        <v>55</v>
      </c>
      <c r="G143" s="3" t="s">
        <v>56</v>
      </c>
      <c r="H143" s="3" t="s">
        <v>56</v>
      </c>
      <c r="I143" s="3" t="s">
        <v>57</v>
      </c>
      <c r="J143" s="3" t="s">
        <v>58</v>
      </c>
      <c r="K143" s="4" t="s">
        <v>128</v>
      </c>
      <c r="L143" s="5"/>
      <c r="M143" s="6"/>
      <c r="N143" s="4" t="s">
        <v>128</v>
      </c>
      <c r="O143" s="6" t="s">
        <v>687</v>
      </c>
      <c r="P143" s="7"/>
      <c r="Q143" s="6"/>
      <c r="R143" s="5"/>
      <c r="S143" s="6"/>
      <c r="T143" s="4" t="s">
        <v>128</v>
      </c>
      <c r="U143" s="6" t="s">
        <v>688</v>
      </c>
      <c r="V143" s="4" t="s">
        <v>128</v>
      </c>
      <c r="W143" s="6" t="s">
        <v>689</v>
      </c>
      <c r="X143" s="4" t="s">
        <v>14</v>
      </c>
      <c r="Y143" s="6"/>
      <c r="Z143" s="4" t="s">
        <v>7</v>
      </c>
      <c r="AA143" s="6" t="s">
        <v>690</v>
      </c>
      <c r="AB143" s="6" t="s">
        <v>691</v>
      </c>
      <c r="AC143" s="6" t="s">
        <v>692</v>
      </c>
    </row>
    <row r="144" spans="1:29" ht="26" x14ac:dyDescent="0.35">
      <c r="A144" s="2">
        <v>1232</v>
      </c>
      <c r="B144" s="3" t="s">
        <v>51</v>
      </c>
      <c r="C144" s="3" t="s">
        <v>52</v>
      </c>
      <c r="D144" s="3" t="s">
        <v>86</v>
      </c>
      <c r="E144" s="3" t="s">
        <v>191</v>
      </c>
      <c r="F144" s="3" t="s">
        <v>97</v>
      </c>
      <c r="G144" s="3" t="s">
        <v>78</v>
      </c>
      <c r="H144" s="3" t="s">
        <v>78</v>
      </c>
      <c r="I144" s="3" t="s">
        <v>4</v>
      </c>
      <c r="J144" s="3" t="s">
        <v>58</v>
      </c>
      <c r="K144" s="4" t="s">
        <v>59</v>
      </c>
      <c r="L144" s="4" t="s">
        <v>59</v>
      </c>
      <c r="M144" s="6"/>
      <c r="N144" s="4" t="s">
        <v>14</v>
      </c>
      <c r="O144" s="6"/>
      <c r="P144" s="3" t="s">
        <v>79</v>
      </c>
      <c r="Q144" s="6"/>
      <c r="R144" s="5"/>
      <c r="S144" s="6"/>
      <c r="T144" s="4" t="s">
        <v>59</v>
      </c>
      <c r="U144" s="6"/>
      <c r="V144" s="5"/>
      <c r="W144" s="6"/>
      <c r="X144" s="4" t="s">
        <v>15</v>
      </c>
      <c r="Y144" s="6"/>
      <c r="Z144" s="4" t="s">
        <v>11</v>
      </c>
      <c r="AA144" s="6" t="s">
        <v>693</v>
      </c>
      <c r="AB144" s="6" t="s">
        <v>694</v>
      </c>
      <c r="AC144" s="6" t="s">
        <v>695</v>
      </c>
    </row>
    <row r="145" spans="1:29" ht="78" hidden="1" x14ac:dyDescent="0.35">
      <c r="A145" s="2">
        <v>1233</v>
      </c>
      <c r="B145" s="3" t="s">
        <v>108</v>
      </c>
      <c r="C145" s="3" t="s">
        <v>52</v>
      </c>
      <c r="D145" s="3" t="s">
        <v>53</v>
      </c>
      <c r="E145" s="3" t="s">
        <v>191</v>
      </c>
      <c r="F145" s="3" t="s">
        <v>97</v>
      </c>
      <c r="G145" s="3" t="s">
        <v>78</v>
      </c>
      <c r="H145" s="3" t="s">
        <v>78</v>
      </c>
      <c r="I145" s="3" t="s">
        <v>127</v>
      </c>
      <c r="J145" s="3" t="s">
        <v>58</v>
      </c>
      <c r="K145" s="4" t="s">
        <v>14</v>
      </c>
      <c r="L145" s="5"/>
      <c r="M145" s="6"/>
      <c r="N145" s="4" t="s">
        <v>13</v>
      </c>
      <c r="O145" s="6"/>
      <c r="P145" s="7"/>
      <c r="Q145" s="6"/>
      <c r="R145" s="4" t="s">
        <v>12</v>
      </c>
      <c r="S145" s="6" t="s">
        <v>696</v>
      </c>
      <c r="T145" s="4" t="s">
        <v>13</v>
      </c>
      <c r="U145" s="6"/>
      <c r="V145" s="4" t="s">
        <v>13</v>
      </c>
      <c r="W145" s="6"/>
      <c r="X145" s="4" t="s">
        <v>72</v>
      </c>
      <c r="Y145" s="6"/>
      <c r="Z145" s="4" t="s">
        <v>14</v>
      </c>
      <c r="AA145" s="6" t="s">
        <v>697</v>
      </c>
      <c r="AB145" s="6" t="s">
        <v>698</v>
      </c>
      <c r="AC145" s="6" t="s">
        <v>699</v>
      </c>
    </row>
    <row r="146" spans="1:29" ht="39" hidden="1" x14ac:dyDescent="0.35">
      <c r="A146" s="2">
        <v>793</v>
      </c>
      <c r="B146" s="3" t="s">
        <v>108</v>
      </c>
      <c r="C146" s="3" t="s">
        <v>52</v>
      </c>
      <c r="D146" s="3" t="s">
        <v>53</v>
      </c>
      <c r="E146" s="3" t="s">
        <v>64</v>
      </c>
      <c r="F146" s="3" t="s">
        <v>65</v>
      </c>
      <c r="G146" s="3" t="s">
        <v>66</v>
      </c>
      <c r="H146" s="3" t="s">
        <v>67</v>
      </c>
      <c r="I146" s="3" t="s">
        <v>2</v>
      </c>
      <c r="J146" s="3" t="s">
        <v>58</v>
      </c>
      <c r="K146" s="4" t="s">
        <v>14</v>
      </c>
      <c r="L146" s="5"/>
      <c r="M146" s="6"/>
      <c r="N146" s="4" t="s">
        <v>14</v>
      </c>
      <c r="O146" s="6"/>
      <c r="P146" s="3" t="s">
        <v>109</v>
      </c>
      <c r="Q146" s="6" t="s">
        <v>700</v>
      </c>
      <c r="R146" s="5"/>
      <c r="S146" s="6"/>
      <c r="T146" s="5"/>
      <c r="U146" s="6"/>
      <c r="V146" s="4" t="s">
        <v>14</v>
      </c>
      <c r="W146" s="6"/>
      <c r="X146" s="4" t="s">
        <v>72</v>
      </c>
      <c r="Y146" s="6"/>
      <c r="Z146" s="4" t="s">
        <v>16</v>
      </c>
      <c r="AA146" s="6" t="s">
        <v>701</v>
      </c>
      <c r="AB146" s="6" t="s">
        <v>702</v>
      </c>
      <c r="AC146" s="6" t="s">
        <v>703</v>
      </c>
    </row>
    <row r="147" spans="1:29" ht="52" hidden="1" x14ac:dyDescent="0.35">
      <c r="A147" s="2">
        <v>1242</v>
      </c>
      <c r="B147" s="3" t="s">
        <v>108</v>
      </c>
      <c r="C147" s="3" t="s">
        <v>75</v>
      </c>
      <c r="D147" s="3" t="s">
        <v>86</v>
      </c>
      <c r="E147" s="3" t="s">
        <v>202</v>
      </c>
      <c r="F147" s="3" t="s">
        <v>65</v>
      </c>
      <c r="G147" s="3" t="s">
        <v>226</v>
      </c>
      <c r="H147" s="3" t="s">
        <v>226</v>
      </c>
      <c r="I147" s="3" t="s">
        <v>127</v>
      </c>
      <c r="J147" s="3" t="s">
        <v>58</v>
      </c>
      <c r="K147" s="4" t="s">
        <v>12</v>
      </c>
      <c r="L147" s="5"/>
      <c r="M147" s="6"/>
      <c r="N147" s="5"/>
      <c r="O147" s="6"/>
      <c r="P147" s="7"/>
      <c r="Q147" s="6"/>
      <c r="R147" s="5"/>
      <c r="S147" s="6"/>
      <c r="T147" s="5"/>
      <c r="U147" s="6"/>
      <c r="V147" s="5"/>
      <c r="W147" s="6"/>
      <c r="X147" s="4" t="s">
        <v>14</v>
      </c>
      <c r="Y147" s="6"/>
      <c r="Z147" s="4" t="s">
        <v>14</v>
      </c>
      <c r="AA147" s="6" t="s">
        <v>704</v>
      </c>
      <c r="AB147" s="6" t="s">
        <v>705</v>
      </c>
      <c r="AC147" s="6"/>
    </row>
    <row r="148" spans="1:29" ht="39" x14ac:dyDescent="0.35">
      <c r="A148" s="2">
        <v>1245</v>
      </c>
      <c r="B148" s="3" t="s">
        <v>51</v>
      </c>
      <c r="C148" s="3" t="s">
        <v>52</v>
      </c>
      <c r="D148" s="3" t="s">
        <v>86</v>
      </c>
      <c r="E148" s="3" t="s">
        <v>87</v>
      </c>
      <c r="F148" s="3" t="s">
        <v>77</v>
      </c>
      <c r="G148" s="3" t="s">
        <v>103</v>
      </c>
      <c r="H148" s="3" t="s">
        <v>104</v>
      </c>
      <c r="I148" s="3" t="s">
        <v>4</v>
      </c>
      <c r="J148" s="3" t="s">
        <v>88</v>
      </c>
      <c r="K148" s="4" t="s">
        <v>12</v>
      </c>
      <c r="L148" s="4" t="s">
        <v>13</v>
      </c>
      <c r="M148" s="6"/>
      <c r="N148" s="5"/>
      <c r="O148" s="6"/>
      <c r="P148" s="7"/>
      <c r="Q148" s="6"/>
      <c r="R148" s="4" t="s">
        <v>8</v>
      </c>
      <c r="S148" s="6" t="s">
        <v>706</v>
      </c>
      <c r="T148" s="4" t="s">
        <v>12</v>
      </c>
      <c r="U148" s="6" t="s">
        <v>707</v>
      </c>
      <c r="V148" s="4" t="s">
        <v>9</v>
      </c>
      <c r="W148" s="6" t="s">
        <v>708</v>
      </c>
      <c r="X148" s="4" t="s">
        <v>13</v>
      </c>
      <c r="Y148" s="6"/>
      <c r="Z148" s="4" t="s">
        <v>12</v>
      </c>
      <c r="AA148" s="6" t="s">
        <v>709</v>
      </c>
      <c r="AB148" s="6" t="s">
        <v>710</v>
      </c>
      <c r="AC148" s="6" t="s">
        <v>711</v>
      </c>
    </row>
    <row r="149" spans="1:29" ht="52" hidden="1" x14ac:dyDescent="0.35">
      <c r="A149" s="2">
        <v>1249</v>
      </c>
      <c r="B149" s="3" t="s">
        <v>108</v>
      </c>
      <c r="C149" s="3" t="s">
        <v>52</v>
      </c>
      <c r="D149" s="3" t="s">
        <v>53</v>
      </c>
      <c r="E149" s="3" t="s">
        <v>191</v>
      </c>
      <c r="F149" s="3" t="s">
        <v>97</v>
      </c>
      <c r="G149" s="3" t="s">
        <v>78</v>
      </c>
      <c r="H149" s="3" t="s">
        <v>78</v>
      </c>
      <c r="I149" s="3" t="s">
        <v>57</v>
      </c>
      <c r="J149" s="3" t="s">
        <v>58</v>
      </c>
      <c r="K149" s="4" t="s">
        <v>15</v>
      </c>
      <c r="L149" s="4" t="s">
        <v>59</v>
      </c>
      <c r="M149" s="6"/>
      <c r="N149" s="4" t="s">
        <v>59</v>
      </c>
      <c r="O149" s="6"/>
      <c r="P149" s="7"/>
      <c r="Q149" s="6"/>
      <c r="R149" s="4" t="s">
        <v>13</v>
      </c>
      <c r="S149" s="6"/>
      <c r="T149" s="4" t="s">
        <v>14</v>
      </c>
      <c r="U149" s="6"/>
      <c r="V149" s="4" t="s">
        <v>15</v>
      </c>
      <c r="W149" s="6"/>
      <c r="X149" s="4" t="s">
        <v>59</v>
      </c>
      <c r="Y149" s="6"/>
      <c r="Z149" s="4" t="s">
        <v>16</v>
      </c>
      <c r="AA149" s="6" t="s">
        <v>712</v>
      </c>
      <c r="AB149" s="6" t="s">
        <v>713</v>
      </c>
      <c r="AC149" s="6" t="s">
        <v>714</v>
      </c>
    </row>
    <row r="150" spans="1:29" ht="65" hidden="1" x14ac:dyDescent="0.35">
      <c r="A150" s="2">
        <v>808</v>
      </c>
      <c r="B150" s="3" t="s">
        <v>108</v>
      </c>
      <c r="C150" s="3" t="s">
        <v>52</v>
      </c>
      <c r="D150" s="3" t="s">
        <v>86</v>
      </c>
      <c r="E150" s="3" t="s">
        <v>64</v>
      </c>
      <c r="F150" s="3" t="s">
        <v>65</v>
      </c>
      <c r="G150" s="3" t="s">
        <v>115</v>
      </c>
      <c r="H150" s="3" t="s">
        <v>115</v>
      </c>
      <c r="I150" s="3" t="s">
        <v>2</v>
      </c>
      <c r="J150" s="3" t="s">
        <v>58</v>
      </c>
      <c r="K150" s="4" t="s">
        <v>14</v>
      </c>
      <c r="L150" s="5"/>
      <c r="M150" s="6"/>
      <c r="N150" s="5"/>
      <c r="O150" s="6"/>
      <c r="P150" s="7"/>
      <c r="Q150" s="6"/>
      <c r="R150" s="5"/>
      <c r="S150" s="6"/>
      <c r="T150" s="5"/>
      <c r="U150" s="6"/>
      <c r="V150" s="5"/>
      <c r="W150" s="6"/>
      <c r="X150" s="4" t="s">
        <v>12</v>
      </c>
      <c r="Y150" s="6" t="s">
        <v>715</v>
      </c>
      <c r="Z150" s="4" t="s">
        <v>16</v>
      </c>
      <c r="AA150" s="6" t="s">
        <v>716</v>
      </c>
      <c r="AB150" s="6" t="s">
        <v>717</v>
      </c>
      <c r="AC150" s="6" t="s">
        <v>718</v>
      </c>
    </row>
    <row r="151" spans="1:29" ht="26" hidden="1" x14ac:dyDescent="0.35">
      <c r="A151" s="2">
        <v>1255</v>
      </c>
      <c r="B151" s="3" t="s">
        <v>108</v>
      </c>
      <c r="C151" s="3" t="s">
        <v>52</v>
      </c>
      <c r="D151" s="3" t="s">
        <v>53</v>
      </c>
      <c r="E151" s="3" t="s">
        <v>191</v>
      </c>
      <c r="F151" s="3" t="s">
        <v>97</v>
      </c>
      <c r="G151" s="3" t="s">
        <v>78</v>
      </c>
      <c r="H151" s="3" t="s">
        <v>78</v>
      </c>
      <c r="I151" s="3" t="s">
        <v>4</v>
      </c>
      <c r="J151" s="3" t="s">
        <v>58</v>
      </c>
      <c r="K151" s="4" t="s">
        <v>59</v>
      </c>
      <c r="L151" s="4" t="s">
        <v>14</v>
      </c>
      <c r="M151" s="6"/>
      <c r="N151" s="4" t="s">
        <v>14</v>
      </c>
      <c r="O151" s="6"/>
      <c r="P151" s="7"/>
      <c r="Q151" s="6"/>
      <c r="R151" s="5"/>
      <c r="S151" s="6"/>
      <c r="T151" s="5"/>
      <c r="U151" s="6"/>
      <c r="V151" s="4" t="s">
        <v>59</v>
      </c>
      <c r="W151" s="6"/>
      <c r="X151" s="4" t="s">
        <v>59</v>
      </c>
      <c r="Y151" s="6"/>
      <c r="Z151" s="4" t="s">
        <v>16</v>
      </c>
      <c r="AA151" s="6" t="s">
        <v>719</v>
      </c>
      <c r="AB151" s="6"/>
      <c r="AC151" s="6"/>
    </row>
    <row r="152" spans="1:29" ht="39" hidden="1" x14ac:dyDescent="0.35">
      <c r="A152" s="2">
        <v>835</v>
      </c>
      <c r="B152" s="3" t="s">
        <v>108</v>
      </c>
      <c r="C152" s="3" t="s">
        <v>52</v>
      </c>
      <c r="D152" s="3" t="s">
        <v>86</v>
      </c>
      <c r="E152" s="3" t="s">
        <v>54</v>
      </c>
      <c r="F152" s="3" t="s">
        <v>55</v>
      </c>
      <c r="G152" s="3" t="s">
        <v>56</v>
      </c>
      <c r="H152" s="3" t="s">
        <v>56</v>
      </c>
      <c r="I152" s="3" t="s">
        <v>2</v>
      </c>
      <c r="J152" s="3" t="s">
        <v>58</v>
      </c>
      <c r="K152" s="4" t="s">
        <v>15</v>
      </c>
      <c r="L152" s="5"/>
      <c r="M152" s="6"/>
      <c r="N152" s="5"/>
      <c r="O152" s="6"/>
      <c r="P152" s="7"/>
      <c r="Q152" s="6"/>
      <c r="R152" s="4" t="s">
        <v>15</v>
      </c>
      <c r="S152" s="6"/>
      <c r="T152" s="4" t="s">
        <v>12</v>
      </c>
      <c r="U152" s="6" t="s">
        <v>720</v>
      </c>
      <c r="V152" s="4" t="s">
        <v>15</v>
      </c>
      <c r="W152" s="6"/>
      <c r="X152" s="4" t="s">
        <v>14</v>
      </c>
      <c r="Y152" s="6"/>
      <c r="Z152" s="4" t="s">
        <v>16</v>
      </c>
      <c r="AA152" s="6" t="s">
        <v>721</v>
      </c>
      <c r="AB152" s="6" t="s">
        <v>722</v>
      </c>
      <c r="AC152" s="6" t="s">
        <v>723</v>
      </c>
    </row>
    <row r="153" spans="1:29" ht="117" hidden="1" x14ac:dyDescent="0.35">
      <c r="A153" s="2">
        <v>836</v>
      </c>
      <c r="B153" s="3" t="s">
        <v>108</v>
      </c>
      <c r="C153" s="3" t="s">
        <v>52</v>
      </c>
      <c r="D153" s="3" t="s">
        <v>53</v>
      </c>
      <c r="E153" s="3" t="s">
        <v>87</v>
      </c>
      <c r="F153" s="3" t="s">
        <v>77</v>
      </c>
      <c r="G153" s="3" t="s">
        <v>103</v>
      </c>
      <c r="H153" s="3" t="s">
        <v>104</v>
      </c>
      <c r="I153" s="3" t="s">
        <v>2</v>
      </c>
      <c r="J153" s="3" t="s">
        <v>58</v>
      </c>
      <c r="K153" s="4" t="s">
        <v>14</v>
      </c>
      <c r="L153" s="4" t="s">
        <v>14</v>
      </c>
      <c r="M153" s="6"/>
      <c r="N153" s="4" t="s">
        <v>13</v>
      </c>
      <c r="O153" s="6"/>
      <c r="P153" s="7"/>
      <c r="Q153" s="6"/>
      <c r="R153" s="5"/>
      <c r="S153" s="6"/>
      <c r="T153" s="4" t="s">
        <v>11</v>
      </c>
      <c r="U153" s="6" t="s">
        <v>724</v>
      </c>
      <c r="V153" s="4" t="s">
        <v>14</v>
      </c>
      <c r="W153" s="6"/>
      <c r="X153" s="4" t="s">
        <v>14</v>
      </c>
      <c r="Y153" s="6"/>
      <c r="Z153" s="4" t="s">
        <v>16</v>
      </c>
      <c r="AA153" s="6" t="s">
        <v>725</v>
      </c>
      <c r="AB153" s="6" t="s">
        <v>726</v>
      </c>
      <c r="AC153" s="6" t="s">
        <v>727</v>
      </c>
    </row>
    <row r="154" spans="1:29" ht="52" hidden="1" x14ac:dyDescent="0.35">
      <c r="A154" s="2">
        <v>1262</v>
      </c>
      <c r="B154" s="3" t="s">
        <v>108</v>
      </c>
      <c r="C154" s="3" t="s">
        <v>52</v>
      </c>
      <c r="D154" s="3" t="s">
        <v>53</v>
      </c>
      <c r="E154" s="3" t="s">
        <v>64</v>
      </c>
      <c r="F154" s="3" t="s">
        <v>65</v>
      </c>
      <c r="G154" s="3" t="s">
        <v>66</v>
      </c>
      <c r="H154" s="3" t="s">
        <v>67</v>
      </c>
      <c r="I154" s="3" t="s">
        <v>57</v>
      </c>
      <c r="J154" s="3" t="s">
        <v>58</v>
      </c>
      <c r="K154" s="4" t="s">
        <v>11</v>
      </c>
      <c r="L154" s="5"/>
      <c r="M154" s="6"/>
      <c r="N154" s="4" t="s">
        <v>13</v>
      </c>
      <c r="O154" s="6"/>
      <c r="P154" s="7"/>
      <c r="Q154" s="6"/>
      <c r="R154" s="4" t="s">
        <v>12</v>
      </c>
      <c r="S154" s="6" t="s">
        <v>728</v>
      </c>
      <c r="T154" s="4" t="s">
        <v>10</v>
      </c>
      <c r="U154" s="6" t="s">
        <v>729</v>
      </c>
      <c r="V154" s="4" t="s">
        <v>9</v>
      </c>
      <c r="W154" s="6" t="s">
        <v>730</v>
      </c>
      <c r="X154" s="4" t="s">
        <v>15</v>
      </c>
      <c r="Y154" s="6"/>
      <c r="Z154" s="4" t="s">
        <v>9</v>
      </c>
      <c r="AA154" s="6" t="s">
        <v>731</v>
      </c>
      <c r="AB154" s="6" t="s">
        <v>732</v>
      </c>
      <c r="AC154" s="6" t="s">
        <v>733</v>
      </c>
    </row>
    <row r="155" spans="1:29" ht="39" x14ac:dyDescent="0.35">
      <c r="A155" s="2">
        <v>1266</v>
      </c>
      <c r="B155" s="3" t="s">
        <v>51</v>
      </c>
      <c r="C155" s="3" t="s">
        <v>52</v>
      </c>
      <c r="D155" s="3" t="s">
        <v>86</v>
      </c>
      <c r="E155" s="3" t="s">
        <v>64</v>
      </c>
      <c r="F155" s="3" t="s">
        <v>65</v>
      </c>
      <c r="G155" s="3" t="s">
        <v>115</v>
      </c>
      <c r="H155" s="3" t="s">
        <v>115</v>
      </c>
      <c r="I155" s="3" t="s">
        <v>57</v>
      </c>
      <c r="J155" s="3" t="s">
        <v>58</v>
      </c>
      <c r="K155" s="4" t="s">
        <v>10</v>
      </c>
      <c r="L155" s="4" t="s">
        <v>15</v>
      </c>
      <c r="M155" s="6"/>
      <c r="N155" s="4" t="s">
        <v>13</v>
      </c>
      <c r="O155" s="6"/>
      <c r="P155" s="7"/>
      <c r="Q155" s="6"/>
      <c r="R155" s="4" t="s">
        <v>15</v>
      </c>
      <c r="S155" s="6"/>
      <c r="T155" s="5"/>
      <c r="U155" s="6"/>
      <c r="V155" s="4" t="s">
        <v>8</v>
      </c>
      <c r="W155" s="6" t="s">
        <v>734</v>
      </c>
      <c r="X155" s="4" t="s">
        <v>14</v>
      </c>
      <c r="Y155" s="6"/>
      <c r="Z155" s="4" t="s">
        <v>12</v>
      </c>
      <c r="AA155" s="6" t="s">
        <v>735</v>
      </c>
      <c r="AB155" s="6" t="s">
        <v>736</v>
      </c>
      <c r="AC155" s="6" t="s">
        <v>737</v>
      </c>
    </row>
    <row r="156" spans="1:29" ht="117" hidden="1" x14ac:dyDescent="0.35">
      <c r="A156" s="2">
        <v>857</v>
      </c>
      <c r="B156" s="3" t="s">
        <v>108</v>
      </c>
      <c r="C156" s="3" t="s">
        <v>75</v>
      </c>
      <c r="D156" s="3" t="s">
        <v>53</v>
      </c>
      <c r="E156" s="3" t="s">
        <v>202</v>
      </c>
      <c r="F156" s="3" t="s">
        <v>65</v>
      </c>
      <c r="G156" s="3" t="s">
        <v>226</v>
      </c>
      <c r="H156" s="3" t="s">
        <v>226</v>
      </c>
      <c r="I156" s="3" t="s">
        <v>2</v>
      </c>
      <c r="J156" s="3" t="s">
        <v>58</v>
      </c>
      <c r="K156" s="4" t="s">
        <v>11</v>
      </c>
      <c r="L156" s="5"/>
      <c r="M156" s="6"/>
      <c r="N156" s="5"/>
      <c r="O156" s="6"/>
      <c r="P156" s="7"/>
      <c r="Q156" s="6"/>
      <c r="R156" s="4" t="s">
        <v>12</v>
      </c>
      <c r="S156" s="6" t="s">
        <v>738</v>
      </c>
      <c r="T156" s="5"/>
      <c r="U156" s="6"/>
      <c r="V156" s="5"/>
      <c r="W156" s="6"/>
      <c r="X156" s="4" t="s">
        <v>14</v>
      </c>
      <c r="Y156" s="6"/>
      <c r="Z156" s="4" t="s">
        <v>16</v>
      </c>
      <c r="AA156" s="6" t="s">
        <v>739</v>
      </c>
      <c r="AB156" s="6" t="s">
        <v>740</v>
      </c>
      <c r="AC156" s="6" t="s">
        <v>741</v>
      </c>
    </row>
    <row r="157" spans="1:29" ht="26" hidden="1" x14ac:dyDescent="0.35">
      <c r="A157" s="2">
        <v>1274</v>
      </c>
      <c r="B157" s="3" t="s">
        <v>108</v>
      </c>
      <c r="C157" s="3" t="s">
        <v>75</v>
      </c>
      <c r="D157" s="3" t="s">
        <v>53</v>
      </c>
      <c r="E157" s="3" t="s">
        <v>742</v>
      </c>
      <c r="F157" s="3" t="s">
        <v>55</v>
      </c>
      <c r="G157" s="3" t="s">
        <v>56</v>
      </c>
      <c r="H157" s="3" t="s">
        <v>56</v>
      </c>
      <c r="I157" s="3" t="s">
        <v>127</v>
      </c>
      <c r="J157" s="3" t="s">
        <v>58</v>
      </c>
      <c r="K157" s="4" t="s">
        <v>13</v>
      </c>
      <c r="L157" s="5"/>
      <c r="M157" s="6"/>
      <c r="N157" s="4" t="s">
        <v>13</v>
      </c>
      <c r="O157" s="6"/>
      <c r="P157" s="7"/>
      <c r="Q157" s="6"/>
      <c r="R157" s="5"/>
      <c r="S157" s="6"/>
      <c r="T157" s="4" t="s">
        <v>13</v>
      </c>
      <c r="U157" s="6"/>
      <c r="V157" s="4" t="s">
        <v>14</v>
      </c>
      <c r="W157" s="6"/>
      <c r="X157" s="4" t="s">
        <v>14</v>
      </c>
      <c r="Y157" s="6"/>
      <c r="Z157" s="4" t="s">
        <v>16</v>
      </c>
      <c r="AA157" s="6" t="s">
        <v>743</v>
      </c>
      <c r="AB157" s="6" t="s">
        <v>744</v>
      </c>
      <c r="AC157" s="6" t="s">
        <v>745</v>
      </c>
    </row>
    <row r="158" spans="1:29" ht="39" hidden="1" x14ac:dyDescent="0.35">
      <c r="A158" s="2">
        <v>1277</v>
      </c>
      <c r="B158" s="3" t="s">
        <v>108</v>
      </c>
      <c r="C158" s="3" t="s">
        <v>52</v>
      </c>
      <c r="D158" s="3" t="s">
        <v>53</v>
      </c>
      <c r="E158" s="3" t="s">
        <v>64</v>
      </c>
      <c r="F158" s="3" t="s">
        <v>65</v>
      </c>
      <c r="G158" s="3" t="s">
        <v>115</v>
      </c>
      <c r="H158" s="3" t="s">
        <v>115</v>
      </c>
      <c r="I158" s="3" t="s">
        <v>127</v>
      </c>
      <c r="J158" s="3" t="s">
        <v>58</v>
      </c>
      <c r="K158" s="4" t="s">
        <v>12</v>
      </c>
      <c r="L158" s="4" t="s">
        <v>14</v>
      </c>
      <c r="M158" s="6"/>
      <c r="N158" s="4" t="s">
        <v>13</v>
      </c>
      <c r="O158" s="6"/>
      <c r="P158" s="3" t="s">
        <v>109</v>
      </c>
      <c r="Q158" s="6" t="s">
        <v>746</v>
      </c>
      <c r="R158" s="4" t="s">
        <v>13</v>
      </c>
      <c r="S158" s="6"/>
      <c r="T158" s="4" t="s">
        <v>11</v>
      </c>
      <c r="U158" s="6" t="s">
        <v>747</v>
      </c>
      <c r="V158" s="4" t="s">
        <v>14</v>
      </c>
      <c r="W158" s="6"/>
      <c r="X158" s="4" t="s">
        <v>14</v>
      </c>
      <c r="Y158" s="6"/>
      <c r="Z158" s="4" t="s">
        <v>13</v>
      </c>
      <c r="AA158" s="6" t="s">
        <v>748</v>
      </c>
      <c r="AB158" s="6" t="s">
        <v>749</v>
      </c>
      <c r="AC158" s="6" t="s">
        <v>750</v>
      </c>
    </row>
    <row r="159" spans="1:29" ht="39" hidden="1" x14ac:dyDescent="0.35">
      <c r="A159" s="2">
        <v>872</v>
      </c>
      <c r="B159" s="3" t="s">
        <v>108</v>
      </c>
      <c r="C159" s="3" t="s">
        <v>52</v>
      </c>
      <c r="D159" s="3" t="s">
        <v>86</v>
      </c>
      <c r="E159" s="3" t="s">
        <v>64</v>
      </c>
      <c r="F159" s="3" t="s">
        <v>65</v>
      </c>
      <c r="G159" s="3" t="s">
        <v>115</v>
      </c>
      <c r="H159" s="3" t="s">
        <v>115</v>
      </c>
      <c r="I159" s="3" t="s">
        <v>2</v>
      </c>
      <c r="J159" s="3" t="s">
        <v>58</v>
      </c>
      <c r="K159" s="4" t="s">
        <v>15</v>
      </c>
      <c r="L159" s="5"/>
      <c r="M159" s="6"/>
      <c r="N159" s="4" t="s">
        <v>15</v>
      </c>
      <c r="O159" s="6"/>
      <c r="P159" s="7"/>
      <c r="Q159" s="6"/>
      <c r="R159" s="4" t="s">
        <v>13</v>
      </c>
      <c r="S159" s="6"/>
      <c r="T159" s="5"/>
      <c r="U159" s="6"/>
      <c r="V159" s="5"/>
      <c r="W159" s="6"/>
      <c r="X159" s="4" t="s">
        <v>15</v>
      </c>
      <c r="Y159" s="6"/>
      <c r="Z159" s="4" t="s">
        <v>16</v>
      </c>
      <c r="AA159" s="6" t="s">
        <v>751</v>
      </c>
      <c r="AB159" s="6" t="s">
        <v>752</v>
      </c>
      <c r="AC159" s="6" t="s">
        <v>753</v>
      </c>
    </row>
    <row r="160" spans="1:29" ht="39" x14ac:dyDescent="0.35">
      <c r="A160" s="2">
        <v>1279</v>
      </c>
      <c r="B160" s="3" t="s">
        <v>51</v>
      </c>
      <c r="C160" s="3" t="s">
        <v>52</v>
      </c>
      <c r="D160" s="3" t="s">
        <v>53</v>
      </c>
      <c r="E160" s="3" t="s">
        <v>87</v>
      </c>
      <c r="F160" s="3" t="s">
        <v>77</v>
      </c>
      <c r="G160" s="3" t="s">
        <v>103</v>
      </c>
      <c r="H160" s="3" t="s">
        <v>104</v>
      </c>
      <c r="I160" s="3" t="s">
        <v>4</v>
      </c>
      <c r="J160" s="3" t="s">
        <v>58</v>
      </c>
      <c r="K160" s="4" t="s">
        <v>11</v>
      </c>
      <c r="L160" s="4" t="s">
        <v>8</v>
      </c>
      <c r="M160" s="6" t="s">
        <v>754</v>
      </c>
      <c r="N160" s="4" t="s">
        <v>13</v>
      </c>
      <c r="O160" s="6"/>
      <c r="P160" s="3" t="s">
        <v>69</v>
      </c>
      <c r="Q160" s="6" t="s">
        <v>755</v>
      </c>
      <c r="R160" s="5"/>
      <c r="S160" s="6"/>
      <c r="T160" s="4" t="s">
        <v>9</v>
      </c>
      <c r="U160" s="6" t="s">
        <v>756</v>
      </c>
      <c r="V160" s="5"/>
      <c r="W160" s="6"/>
      <c r="X160" s="4" t="s">
        <v>11</v>
      </c>
      <c r="Y160" s="6" t="s">
        <v>757</v>
      </c>
      <c r="Z160" s="4" t="s">
        <v>12</v>
      </c>
      <c r="AA160" s="6" t="s">
        <v>758</v>
      </c>
      <c r="AB160" s="6" t="s">
        <v>759</v>
      </c>
      <c r="AC160" s="6" t="s">
        <v>760</v>
      </c>
    </row>
    <row r="161" spans="1:29" ht="52" x14ac:dyDescent="0.35">
      <c r="A161" s="2">
        <v>877</v>
      </c>
      <c r="B161" s="3" t="s">
        <v>51</v>
      </c>
      <c r="C161" s="3" t="s">
        <v>52</v>
      </c>
      <c r="D161" s="3" t="s">
        <v>86</v>
      </c>
      <c r="E161" s="3" t="s">
        <v>64</v>
      </c>
      <c r="F161" s="3" t="s">
        <v>65</v>
      </c>
      <c r="G161" s="3" t="s">
        <v>66</v>
      </c>
      <c r="H161" s="3" t="s">
        <v>67</v>
      </c>
      <c r="I161" s="3" t="s">
        <v>2</v>
      </c>
      <c r="J161" s="3" t="s">
        <v>58</v>
      </c>
      <c r="K161" s="4" t="s">
        <v>14</v>
      </c>
      <c r="L161" s="5"/>
      <c r="M161" s="6"/>
      <c r="N161" s="5"/>
      <c r="O161" s="6"/>
      <c r="P161" s="7"/>
      <c r="Q161" s="6"/>
      <c r="R161" s="5"/>
      <c r="S161" s="6"/>
      <c r="T161" s="5"/>
      <c r="U161" s="6"/>
      <c r="V161" s="5"/>
      <c r="W161" s="6"/>
      <c r="X161" s="4" t="s">
        <v>14</v>
      </c>
      <c r="Y161" s="6"/>
      <c r="Z161" s="4" t="s">
        <v>16</v>
      </c>
      <c r="AA161" s="6" t="s">
        <v>761</v>
      </c>
      <c r="AB161" s="6" t="s">
        <v>762</v>
      </c>
      <c r="AC161" s="6" t="s">
        <v>763</v>
      </c>
    </row>
    <row r="162" spans="1:29" ht="52" x14ac:dyDescent="0.35">
      <c r="A162" s="2">
        <v>1283</v>
      </c>
      <c r="B162" s="3" t="s">
        <v>51</v>
      </c>
      <c r="C162" s="3" t="s">
        <v>52</v>
      </c>
      <c r="D162" s="3" t="s">
        <v>86</v>
      </c>
      <c r="E162" s="3" t="s">
        <v>87</v>
      </c>
      <c r="F162" s="3" t="s">
        <v>77</v>
      </c>
      <c r="G162" s="3" t="s">
        <v>103</v>
      </c>
      <c r="H162" s="3" t="s">
        <v>104</v>
      </c>
      <c r="I162" s="3" t="s">
        <v>127</v>
      </c>
      <c r="J162" s="3" t="s">
        <v>58</v>
      </c>
      <c r="K162" s="4" t="s">
        <v>14</v>
      </c>
      <c r="L162" s="5"/>
      <c r="M162" s="6"/>
      <c r="N162" s="4" t="s">
        <v>14</v>
      </c>
      <c r="O162" s="6"/>
      <c r="P162" s="3" t="s">
        <v>109</v>
      </c>
      <c r="Q162" s="6" t="s">
        <v>764</v>
      </c>
      <c r="R162" s="4" t="s">
        <v>13</v>
      </c>
      <c r="S162" s="6"/>
      <c r="T162" s="4" t="s">
        <v>12</v>
      </c>
      <c r="U162" s="6" t="s">
        <v>765</v>
      </c>
      <c r="V162" s="4" t="s">
        <v>14</v>
      </c>
      <c r="W162" s="6"/>
      <c r="X162" s="4" t="s">
        <v>13</v>
      </c>
      <c r="Y162" s="6"/>
      <c r="Z162" s="4" t="s">
        <v>15</v>
      </c>
      <c r="AA162" s="6" t="s">
        <v>766</v>
      </c>
      <c r="AB162" s="6" t="s">
        <v>767</v>
      </c>
      <c r="AC162" s="6" t="s">
        <v>768</v>
      </c>
    </row>
    <row r="163" spans="1:29" ht="26" x14ac:dyDescent="0.35">
      <c r="A163" s="2">
        <v>1285</v>
      </c>
      <c r="B163" s="3" t="s">
        <v>51</v>
      </c>
      <c r="C163" s="3" t="s">
        <v>52</v>
      </c>
      <c r="D163" s="3" t="s">
        <v>86</v>
      </c>
      <c r="E163" s="3" t="s">
        <v>64</v>
      </c>
      <c r="F163" s="3" t="s">
        <v>65</v>
      </c>
      <c r="G163" s="3" t="s">
        <v>115</v>
      </c>
      <c r="H163" s="3" t="s">
        <v>115</v>
      </c>
      <c r="I163" s="3" t="s">
        <v>127</v>
      </c>
      <c r="J163" s="3" t="s">
        <v>58</v>
      </c>
      <c r="K163" s="4" t="s">
        <v>13</v>
      </c>
      <c r="L163" s="4" t="s">
        <v>14</v>
      </c>
      <c r="M163" s="6"/>
      <c r="N163" s="4" t="s">
        <v>9</v>
      </c>
      <c r="O163" s="6" t="s">
        <v>769</v>
      </c>
      <c r="P163" s="7"/>
      <c r="Q163" s="6"/>
      <c r="R163" s="4" t="s">
        <v>14</v>
      </c>
      <c r="S163" s="6"/>
      <c r="T163" s="4" t="s">
        <v>14</v>
      </c>
      <c r="U163" s="6"/>
      <c r="V163" s="4" t="s">
        <v>14</v>
      </c>
      <c r="W163" s="6"/>
      <c r="X163" s="4" t="s">
        <v>14</v>
      </c>
      <c r="Y163" s="6"/>
      <c r="Z163" s="4" t="s">
        <v>11</v>
      </c>
      <c r="AA163" s="6" t="s">
        <v>770</v>
      </c>
      <c r="AB163" s="6" t="s">
        <v>771</v>
      </c>
      <c r="AC163" s="6" t="s">
        <v>772</v>
      </c>
    </row>
    <row r="164" spans="1:29" ht="39" x14ac:dyDescent="0.35">
      <c r="A164" s="2">
        <v>1298</v>
      </c>
      <c r="B164" s="3" t="s">
        <v>51</v>
      </c>
      <c r="C164" s="3" t="s">
        <v>75</v>
      </c>
      <c r="D164" s="3" t="s">
        <v>86</v>
      </c>
      <c r="E164" s="3" t="s">
        <v>76</v>
      </c>
      <c r="F164" s="3" t="s">
        <v>77</v>
      </c>
      <c r="G164" s="3" t="s">
        <v>78</v>
      </c>
      <c r="H164" s="3" t="s">
        <v>78</v>
      </c>
      <c r="I164" s="3" t="s">
        <v>57</v>
      </c>
      <c r="J164" s="3" t="s">
        <v>58</v>
      </c>
      <c r="K164" s="4" t="s">
        <v>13</v>
      </c>
      <c r="L164" s="4" t="s">
        <v>13</v>
      </c>
      <c r="M164" s="6"/>
      <c r="N164" s="4" t="s">
        <v>12</v>
      </c>
      <c r="O164" s="6" t="s">
        <v>773</v>
      </c>
      <c r="P164" s="7"/>
      <c r="Q164" s="6"/>
      <c r="R164" s="5"/>
      <c r="S164" s="6"/>
      <c r="T164" s="4" t="s">
        <v>12</v>
      </c>
      <c r="U164" s="6" t="s">
        <v>774</v>
      </c>
      <c r="V164" s="4" t="s">
        <v>14</v>
      </c>
      <c r="W164" s="6"/>
      <c r="X164" s="4" t="s">
        <v>12</v>
      </c>
      <c r="Y164" s="6" t="s">
        <v>775</v>
      </c>
      <c r="Z164" s="4" t="s">
        <v>14</v>
      </c>
      <c r="AA164" s="6" t="s">
        <v>776</v>
      </c>
      <c r="AB164" s="6" t="s">
        <v>777</v>
      </c>
      <c r="AC164" s="6" t="s">
        <v>778</v>
      </c>
    </row>
    <row r="165" spans="1:29" ht="78" hidden="1" x14ac:dyDescent="0.35">
      <c r="A165" s="2">
        <v>1300</v>
      </c>
      <c r="B165" s="3" t="s">
        <v>108</v>
      </c>
      <c r="C165" s="3" t="s">
        <v>52</v>
      </c>
      <c r="D165" s="3" t="s">
        <v>53</v>
      </c>
      <c r="E165" s="3" t="s">
        <v>87</v>
      </c>
      <c r="F165" s="3" t="s">
        <v>77</v>
      </c>
      <c r="G165" s="3" t="s">
        <v>103</v>
      </c>
      <c r="H165" s="3" t="s">
        <v>104</v>
      </c>
      <c r="I165" s="3" t="s">
        <v>57</v>
      </c>
      <c r="J165" s="3" t="s">
        <v>58</v>
      </c>
      <c r="K165" s="4" t="s">
        <v>128</v>
      </c>
      <c r="L165" s="4" t="s">
        <v>59</v>
      </c>
      <c r="M165" s="6"/>
      <c r="N165" s="5"/>
      <c r="O165" s="6"/>
      <c r="P165" s="7"/>
      <c r="Q165" s="6"/>
      <c r="R165" s="4" t="s">
        <v>13</v>
      </c>
      <c r="S165" s="6"/>
      <c r="T165" s="4" t="s">
        <v>10</v>
      </c>
      <c r="U165" s="6" t="s">
        <v>779</v>
      </c>
      <c r="V165" s="4" t="s">
        <v>128</v>
      </c>
      <c r="W165" s="6" t="s">
        <v>780</v>
      </c>
      <c r="X165" s="4" t="s">
        <v>14</v>
      </c>
      <c r="Y165" s="6"/>
      <c r="Z165" s="4" t="s">
        <v>9</v>
      </c>
      <c r="AA165" s="6" t="s">
        <v>781</v>
      </c>
      <c r="AB165" s="6" t="s">
        <v>782</v>
      </c>
      <c r="AC165" s="6" t="s">
        <v>783</v>
      </c>
    </row>
    <row r="166" spans="1:29" ht="52" x14ac:dyDescent="0.35">
      <c r="A166" s="2">
        <v>932</v>
      </c>
      <c r="B166" s="3" t="s">
        <v>51</v>
      </c>
      <c r="C166" s="3" t="s">
        <v>52</v>
      </c>
      <c r="D166" s="3" t="s">
        <v>53</v>
      </c>
      <c r="E166" s="3" t="s">
        <v>64</v>
      </c>
      <c r="F166" s="3" t="s">
        <v>65</v>
      </c>
      <c r="G166" s="3" t="s">
        <v>115</v>
      </c>
      <c r="H166" s="3" t="s">
        <v>115</v>
      </c>
      <c r="I166" s="3" t="s">
        <v>2</v>
      </c>
      <c r="J166" s="3" t="s">
        <v>58</v>
      </c>
      <c r="K166" s="4" t="s">
        <v>13</v>
      </c>
      <c r="L166" s="4" t="s">
        <v>14</v>
      </c>
      <c r="M166" s="6"/>
      <c r="N166" s="4" t="s">
        <v>13</v>
      </c>
      <c r="O166" s="6"/>
      <c r="P166" s="7"/>
      <c r="Q166" s="6"/>
      <c r="R166" s="5"/>
      <c r="S166" s="6"/>
      <c r="T166" s="4" t="s">
        <v>11</v>
      </c>
      <c r="U166" s="6" t="s">
        <v>784</v>
      </c>
      <c r="V166" s="4" t="s">
        <v>13</v>
      </c>
      <c r="W166" s="6"/>
      <c r="X166" s="4" t="s">
        <v>59</v>
      </c>
      <c r="Y166" s="6"/>
      <c r="Z166" s="4" t="s">
        <v>16</v>
      </c>
      <c r="AA166" s="6" t="s">
        <v>785</v>
      </c>
      <c r="AB166" s="6"/>
      <c r="AC166" s="6" t="s">
        <v>786</v>
      </c>
    </row>
    <row r="167" spans="1:29" ht="39" hidden="1" x14ac:dyDescent="0.35">
      <c r="A167" s="2">
        <v>1003</v>
      </c>
      <c r="B167" s="3" t="s">
        <v>108</v>
      </c>
      <c r="C167" s="3" t="s">
        <v>75</v>
      </c>
      <c r="D167" s="3" t="s">
        <v>86</v>
      </c>
      <c r="E167" s="3" t="s">
        <v>76</v>
      </c>
      <c r="F167" s="3" t="s">
        <v>77</v>
      </c>
      <c r="G167" s="3" t="s">
        <v>78</v>
      </c>
      <c r="H167" s="3" t="s">
        <v>78</v>
      </c>
      <c r="I167" s="3" t="s">
        <v>2</v>
      </c>
      <c r="J167" s="3" t="s">
        <v>58</v>
      </c>
      <c r="K167" s="4" t="s">
        <v>14</v>
      </c>
      <c r="L167" s="5"/>
      <c r="M167" s="6"/>
      <c r="N167" s="5"/>
      <c r="O167" s="6"/>
      <c r="P167" s="7"/>
      <c r="Q167" s="6"/>
      <c r="R167" s="5"/>
      <c r="S167" s="6"/>
      <c r="T167" s="4" t="s">
        <v>13</v>
      </c>
      <c r="U167" s="6"/>
      <c r="V167" s="4" t="s">
        <v>13</v>
      </c>
      <c r="W167" s="6"/>
      <c r="X167" s="4" t="s">
        <v>14</v>
      </c>
      <c r="Y167" s="6"/>
      <c r="Z167" s="4" t="s">
        <v>16</v>
      </c>
      <c r="AA167" s="6" t="s">
        <v>787</v>
      </c>
      <c r="AB167" s="6" t="s">
        <v>788</v>
      </c>
      <c r="AC167" s="6" t="s">
        <v>789</v>
      </c>
    </row>
    <row r="168" spans="1:29" ht="65" hidden="1" x14ac:dyDescent="0.35">
      <c r="A168" s="2">
        <v>1305</v>
      </c>
      <c r="B168" s="3" t="s">
        <v>108</v>
      </c>
      <c r="C168" s="3" t="s">
        <v>52</v>
      </c>
      <c r="D168" s="3" t="s">
        <v>53</v>
      </c>
      <c r="E168" s="3" t="s">
        <v>64</v>
      </c>
      <c r="F168" s="3" t="s">
        <v>65</v>
      </c>
      <c r="G168" s="3" t="s">
        <v>115</v>
      </c>
      <c r="H168" s="3" t="s">
        <v>115</v>
      </c>
      <c r="I168" s="3" t="s">
        <v>127</v>
      </c>
      <c r="J168" s="3" t="s">
        <v>58</v>
      </c>
      <c r="K168" s="4" t="s">
        <v>13</v>
      </c>
      <c r="L168" s="5"/>
      <c r="M168" s="6"/>
      <c r="N168" s="4" t="s">
        <v>14</v>
      </c>
      <c r="O168" s="6"/>
      <c r="P168" s="3" t="s">
        <v>109</v>
      </c>
      <c r="Q168" s="6" t="s">
        <v>790</v>
      </c>
      <c r="R168" s="4" t="s">
        <v>12</v>
      </c>
      <c r="S168" s="6" t="s">
        <v>791</v>
      </c>
      <c r="T168" s="4" t="s">
        <v>14</v>
      </c>
      <c r="U168" s="6"/>
      <c r="V168" s="4" t="s">
        <v>14</v>
      </c>
      <c r="W168" s="6"/>
      <c r="X168" s="4" t="s">
        <v>72</v>
      </c>
      <c r="Y168" s="6"/>
      <c r="Z168" s="4" t="s">
        <v>14</v>
      </c>
      <c r="AA168" s="6" t="s">
        <v>792</v>
      </c>
      <c r="AB168" s="6" t="s">
        <v>793</v>
      </c>
      <c r="AC168" s="6" t="s">
        <v>794</v>
      </c>
    </row>
    <row r="169" spans="1:29" ht="39" hidden="1" x14ac:dyDescent="0.35">
      <c r="A169" s="2">
        <v>1070</v>
      </c>
      <c r="B169" s="3" t="s">
        <v>108</v>
      </c>
      <c r="C169" s="3" t="s">
        <v>52</v>
      </c>
      <c r="D169" s="3" t="s">
        <v>53</v>
      </c>
      <c r="E169" s="3" t="s">
        <v>87</v>
      </c>
      <c r="F169" s="3" t="s">
        <v>77</v>
      </c>
      <c r="G169" s="3" t="s">
        <v>103</v>
      </c>
      <c r="H169" s="3" t="s">
        <v>104</v>
      </c>
      <c r="I169" s="3" t="s">
        <v>2</v>
      </c>
      <c r="J169" s="3" t="s">
        <v>58</v>
      </c>
      <c r="K169" s="4" t="s">
        <v>15</v>
      </c>
      <c r="L169" s="4" t="s">
        <v>59</v>
      </c>
      <c r="M169" s="6"/>
      <c r="N169" s="5"/>
      <c r="O169" s="6"/>
      <c r="P169" s="7"/>
      <c r="Q169" s="6"/>
      <c r="R169" s="5"/>
      <c r="S169" s="6"/>
      <c r="T169" s="5"/>
      <c r="U169" s="6"/>
      <c r="V169" s="5"/>
      <c r="W169" s="6"/>
      <c r="X169" s="4" t="s">
        <v>13</v>
      </c>
      <c r="Y169" s="6"/>
      <c r="Z169" s="4" t="s">
        <v>16</v>
      </c>
      <c r="AA169" s="6" t="s">
        <v>795</v>
      </c>
      <c r="AB169" s="6" t="s">
        <v>796</v>
      </c>
      <c r="AC169" s="6" t="s">
        <v>797</v>
      </c>
    </row>
    <row r="170" spans="1:29" ht="52" hidden="1" x14ac:dyDescent="0.35">
      <c r="A170" s="2">
        <v>1082</v>
      </c>
      <c r="B170" s="3" t="s">
        <v>108</v>
      </c>
      <c r="C170" s="3" t="s">
        <v>52</v>
      </c>
      <c r="D170" s="3" t="s">
        <v>86</v>
      </c>
      <c r="E170" s="3" t="s">
        <v>64</v>
      </c>
      <c r="F170" s="3" t="s">
        <v>65</v>
      </c>
      <c r="G170" s="3" t="s">
        <v>115</v>
      </c>
      <c r="H170" s="3" t="s">
        <v>115</v>
      </c>
      <c r="I170" s="3" t="s">
        <v>2</v>
      </c>
      <c r="J170" s="3" t="s">
        <v>58</v>
      </c>
      <c r="K170" s="4" t="s">
        <v>13</v>
      </c>
      <c r="L170" s="4" t="s">
        <v>15</v>
      </c>
      <c r="M170" s="6"/>
      <c r="N170" s="5"/>
      <c r="O170" s="6"/>
      <c r="P170" s="7"/>
      <c r="Q170" s="6"/>
      <c r="R170" s="5"/>
      <c r="S170" s="6"/>
      <c r="T170" s="4" t="s">
        <v>11</v>
      </c>
      <c r="U170" s="6" t="s">
        <v>798</v>
      </c>
      <c r="V170" s="4" t="s">
        <v>13</v>
      </c>
      <c r="W170" s="6"/>
      <c r="X170" s="4" t="s">
        <v>15</v>
      </c>
      <c r="Y170" s="6"/>
      <c r="Z170" s="4" t="s">
        <v>16</v>
      </c>
      <c r="AA170" s="6" t="s">
        <v>799</v>
      </c>
      <c r="AB170" s="6" t="s">
        <v>800</v>
      </c>
      <c r="AC170" s="6" t="s">
        <v>801</v>
      </c>
    </row>
    <row r="171" spans="1:29" ht="26" hidden="1" x14ac:dyDescent="0.35">
      <c r="A171" s="2">
        <v>1099</v>
      </c>
      <c r="B171" s="3" t="s">
        <v>108</v>
      </c>
      <c r="C171" s="3" t="s">
        <v>75</v>
      </c>
      <c r="D171" s="3" t="s">
        <v>53</v>
      </c>
      <c r="E171" s="3" t="s">
        <v>202</v>
      </c>
      <c r="F171" s="3" t="s">
        <v>65</v>
      </c>
      <c r="G171" s="3" t="s">
        <v>226</v>
      </c>
      <c r="H171" s="3" t="s">
        <v>226</v>
      </c>
      <c r="I171" s="3" t="s">
        <v>2</v>
      </c>
      <c r="J171" s="3" t="s">
        <v>58</v>
      </c>
      <c r="K171" s="4" t="s">
        <v>14</v>
      </c>
      <c r="L171" s="5"/>
      <c r="M171" s="6"/>
      <c r="N171" s="5"/>
      <c r="O171" s="6"/>
      <c r="P171" s="7"/>
      <c r="Q171" s="6"/>
      <c r="R171" s="5"/>
      <c r="S171" s="6"/>
      <c r="T171" s="5"/>
      <c r="U171" s="6"/>
      <c r="V171" s="4" t="s">
        <v>15</v>
      </c>
      <c r="W171" s="6"/>
      <c r="X171" s="4" t="s">
        <v>14</v>
      </c>
      <c r="Y171" s="6"/>
      <c r="Z171" s="4" t="s">
        <v>16</v>
      </c>
      <c r="AA171" s="6" t="s">
        <v>802</v>
      </c>
      <c r="AB171" s="6" t="s">
        <v>803</v>
      </c>
      <c r="AC171" s="6"/>
    </row>
    <row r="172" spans="1:29" ht="78" hidden="1" x14ac:dyDescent="0.35">
      <c r="A172" s="2">
        <v>1320</v>
      </c>
      <c r="B172" s="3" t="s">
        <v>108</v>
      </c>
      <c r="C172" s="3" t="s">
        <v>52</v>
      </c>
      <c r="D172" s="3" t="s">
        <v>86</v>
      </c>
      <c r="E172" s="3" t="s">
        <v>64</v>
      </c>
      <c r="F172" s="3" t="s">
        <v>65</v>
      </c>
      <c r="G172" s="3" t="s">
        <v>66</v>
      </c>
      <c r="H172" s="3" t="s">
        <v>67</v>
      </c>
      <c r="I172" s="3" t="s">
        <v>4</v>
      </c>
      <c r="J172" s="3" t="s">
        <v>58</v>
      </c>
      <c r="K172" s="4" t="s">
        <v>14</v>
      </c>
      <c r="L172" s="4" t="s">
        <v>14</v>
      </c>
      <c r="M172" s="6"/>
      <c r="N172" s="4" t="s">
        <v>13</v>
      </c>
      <c r="O172" s="6"/>
      <c r="P172" s="3" t="s">
        <v>69</v>
      </c>
      <c r="Q172" s="6" t="s">
        <v>804</v>
      </c>
      <c r="R172" s="5"/>
      <c r="S172" s="6"/>
      <c r="T172" s="4" t="s">
        <v>11</v>
      </c>
      <c r="U172" s="6" t="s">
        <v>805</v>
      </c>
      <c r="V172" s="4" t="s">
        <v>13</v>
      </c>
      <c r="W172" s="6"/>
      <c r="X172" s="4" t="s">
        <v>13</v>
      </c>
      <c r="Y172" s="6"/>
      <c r="Z172" s="4" t="s">
        <v>12</v>
      </c>
      <c r="AA172" s="6" t="s">
        <v>806</v>
      </c>
      <c r="AB172" s="6"/>
      <c r="AC172" s="6" t="s">
        <v>807</v>
      </c>
    </row>
    <row r="173" spans="1:29" ht="65" hidden="1" x14ac:dyDescent="0.35">
      <c r="A173" s="2">
        <v>1177</v>
      </c>
      <c r="B173" s="3" t="s">
        <v>108</v>
      </c>
      <c r="C173" s="3" t="s">
        <v>75</v>
      </c>
      <c r="D173" s="3" t="s">
        <v>53</v>
      </c>
      <c r="E173" s="3" t="s">
        <v>202</v>
      </c>
      <c r="F173" s="3" t="s">
        <v>65</v>
      </c>
      <c r="G173" s="3" t="s">
        <v>56</v>
      </c>
      <c r="H173" s="3" t="s">
        <v>56</v>
      </c>
      <c r="I173" s="3" t="s">
        <v>2</v>
      </c>
      <c r="J173" s="3" t="s">
        <v>58</v>
      </c>
      <c r="K173" s="4" t="s">
        <v>15</v>
      </c>
      <c r="L173" s="5"/>
      <c r="M173" s="6"/>
      <c r="N173" s="4" t="s">
        <v>59</v>
      </c>
      <c r="O173" s="6"/>
      <c r="P173" s="3" t="s">
        <v>109</v>
      </c>
      <c r="Q173" s="6" t="s">
        <v>808</v>
      </c>
      <c r="R173" s="5"/>
      <c r="S173" s="6"/>
      <c r="T173" s="4" t="s">
        <v>14</v>
      </c>
      <c r="U173" s="6"/>
      <c r="V173" s="4" t="s">
        <v>13</v>
      </c>
      <c r="W173" s="6"/>
      <c r="X173" s="4" t="s">
        <v>59</v>
      </c>
      <c r="Y173" s="6"/>
      <c r="Z173" s="4" t="s">
        <v>16</v>
      </c>
      <c r="AA173" s="6" t="s">
        <v>809</v>
      </c>
      <c r="AB173" s="6" t="s">
        <v>810</v>
      </c>
      <c r="AC173" s="6" t="s">
        <v>811</v>
      </c>
    </row>
    <row r="174" spans="1:29" ht="26" x14ac:dyDescent="0.35">
      <c r="A174" s="2">
        <v>1186</v>
      </c>
      <c r="B174" s="3" t="s">
        <v>51</v>
      </c>
      <c r="C174" s="3" t="s">
        <v>52</v>
      </c>
      <c r="D174" s="3" t="s">
        <v>53</v>
      </c>
      <c r="E174" s="3" t="s">
        <v>64</v>
      </c>
      <c r="F174" s="3" t="s">
        <v>65</v>
      </c>
      <c r="G174" s="3" t="s">
        <v>115</v>
      </c>
      <c r="H174" s="3" t="s">
        <v>115</v>
      </c>
      <c r="I174" s="3" t="s">
        <v>2</v>
      </c>
      <c r="J174" s="3" t="s">
        <v>58</v>
      </c>
      <c r="K174" s="4" t="s">
        <v>59</v>
      </c>
      <c r="L174" s="5"/>
      <c r="M174" s="6"/>
      <c r="N174" s="4" t="s">
        <v>59</v>
      </c>
      <c r="O174" s="6"/>
      <c r="P174" s="3" t="s">
        <v>79</v>
      </c>
      <c r="Q174" s="6"/>
      <c r="R174" s="5"/>
      <c r="S174" s="6"/>
      <c r="T174" s="5"/>
      <c r="U174" s="6"/>
      <c r="V174" s="4" t="s">
        <v>14</v>
      </c>
      <c r="W174" s="6"/>
      <c r="X174" s="4" t="s">
        <v>59</v>
      </c>
      <c r="Y174" s="6"/>
      <c r="Z174" s="4" t="s">
        <v>16</v>
      </c>
      <c r="AA174" s="6" t="s">
        <v>812</v>
      </c>
      <c r="AB174" s="6" t="s">
        <v>813</v>
      </c>
      <c r="AC174" s="6"/>
    </row>
    <row r="175" spans="1:29" ht="91" hidden="1" x14ac:dyDescent="0.35">
      <c r="A175" s="2">
        <v>1328</v>
      </c>
      <c r="B175" s="3" t="s">
        <v>108</v>
      </c>
      <c r="C175" s="3" t="s">
        <v>52</v>
      </c>
      <c r="D175" s="3" t="s">
        <v>86</v>
      </c>
      <c r="E175" s="3" t="s">
        <v>64</v>
      </c>
      <c r="F175" s="3" t="s">
        <v>65</v>
      </c>
      <c r="G175" s="3" t="s">
        <v>115</v>
      </c>
      <c r="H175" s="3" t="s">
        <v>115</v>
      </c>
      <c r="I175" s="3" t="s">
        <v>57</v>
      </c>
      <c r="J175" s="3" t="s">
        <v>58</v>
      </c>
      <c r="K175" s="4" t="s">
        <v>13</v>
      </c>
      <c r="L175" s="5"/>
      <c r="M175" s="6"/>
      <c r="N175" s="5"/>
      <c r="O175" s="6"/>
      <c r="P175" s="7"/>
      <c r="Q175" s="6"/>
      <c r="R175" s="4" t="s">
        <v>11</v>
      </c>
      <c r="S175" s="6" t="s">
        <v>814</v>
      </c>
      <c r="T175" s="4" t="s">
        <v>15</v>
      </c>
      <c r="U175" s="6"/>
      <c r="V175" s="4" t="s">
        <v>15</v>
      </c>
      <c r="W175" s="6"/>
      <c r="X175" s="4" t="s">
        <v>14</v>
      </c>
      <c r="Y175" s="6"/>
      <c r="Z175" s="4" t="s">
        <v>11</v>
      </c>
      <c r="AA175" s="6" t="s">
        <v>815</v>
      </c>
      <c r="AB175" s="6" t="s">
        <v>816</v>
      </c>
      <c r="AC175" s="6" t="s">
        <v>817</v>
      </c>
    </row>
    <row r="176" spans="1:29" ht="39" x14ac:dyDescent="0.35">
      <c r="A176" s="2">
        <v>1332</v>
      </c>
      <c r="B176" s="3" t="s">
        <v>51</v>
      </c>
      <c r="C176" s="3" t="s">
        <v>52</v>
      </c>
      <c r="D176" s="3" t="s">
        <v>53</v>
      </c>
      <c r="E176" s="3" t="s">
        <v>87</v>
      </c>
      <c r="F176" s="3" t="s">
        <v>77</v>
      </c>
      <c r="G176" s="3" t="s">
        <v>103</v>
      </c>
      <c r="H176" s="3" t="s">
        <v>104</v>
      </c>
      <c r="I176" s="3" t="s">
        <v>57</v>
      </c>
      <c r="J176" s="3" t="s">
        <v>58</v>
      </c>
      <c r="K176" s="4" t="s">
        <v>10</v>
      </c>
      <c r="L176" s="5"/>
      <c r="M176" s="6"/>
      <c r="N176" s="4" t="s">
        <v>14</v>
      </c>
      <c r="O176" s="6"/>
      <c r="P176" s="3" t="s">
        <v>79</v>
      </c>
      <c r="Q176" s="6"/>
      <c r="R176" s="4" t="s">
        <v>13</v>
      </c>
      <c r="S176" s="6"/>
      <c r="T176" s="4" t="s">
        <v>10</v>
      </c>
      <c r="U176" s="6" t="s">
        <v>818</v>
      </c>
      <c r="V176" s="4" t="s">
        <v>14</v>
      </c>
      <c r="W176" s="6"/>
      <c r="X176" s="4" t="s">
        <v>14</v>
      </c>
      <c r="Y176" s="6"/>
      <c r="Z176" s="4" t="s">
        <v>12</v>
      </c>
      <c r="AA176" s="6" t="s">
        <v>819</v>
      </c>
      <c r="AB176" s="6" t="s">
        <v>820</v>
      </c>
      <c r="AC176" s="6" t="s">
        <v>821</v>
      </c>
    </row>
    <row r="177" spans="1:29" ht="130" hidden="1" x14ac:dyDescent="0.35">
      <c r="A177" s="2">
        <v>1335</v>
      </c>
      <c r="B177" s="3" t="s">
        <v>108</v>
      </c>
      <c r="C177" s="3" t="s">
        <v>52</v>
      </c>
      <c r="D177" s="3" t="s">
        <v>53</v>
      </c>
      <c r="E177" s="3" t="s">
        <v>191</v>
      </c>
      <c r="F177" s="3" t="s">
        <v>97</v>
      </c>
      <c r="G177" s="3" t="s">
        <v>78</v>
      </c>
      <c r="H177" s="3" t="s">
        <v>78</v>
      </c>
      <c r="I177" s="3" t="s">
        <v>4</v>
      </c>
      <c r="J177" s="3" t="s">
        <v>58</v>
      </c>
      <c r="K177" s="4" t="s">
        <v>13</v>
      </c>
      <c r="L177" s="4" t="s">
        <v>14</v>
      </c>
      <c r="M177" s="6"/>
      <c r="N177" s="4" t="s">
        <v>14</v>
      </c>
      <c r="O177" s="6"/>
      <c r="P177" s="3" t="s">
        <v>109</v>
      </c>
      <c r="Q177" s="6" t="s">
        <v>822</v>
      </c>
      <c r="R177" s="5"/>
      <c r="S177" s="6"/>
      <c r="T177" s="4" t="s">
        <v>13</v>
      </c>
      <c r="U177" s="6"/>
      <c r="V177" s="4" t="s">
        <v>13</v>
      </c>
      <c r="W177" s="6"/>
      <c r="X177" s="4" t="s">
        <v>13</v>
      </c>
      <c r="Y177" s="6"/>
      <c r="Z177" s="4" t="s">
        <v>16</v>
      </c>
      <c r="AA177" s="6" t="s">
        <v>823</v>
      </c>
      <c r="AB177" s="6" t="s">
        <v>824</v>
      </c>
      <c r="AC177" s="6" t="s">
        <v>825</v>
      </c>
    </row>
    <row r="178" spans="1:29" ht="26" hidden="1" x14ac:dyDescent="0.35">
      <c r="A178" s="2">
        <v>1204</v>
      </c>
      <c r="B178" s="3" t="s">
        <v>108</v>
      </c>
      <c r="C178" s="3" t="s">
        <v>52</v>
      </c>
      <c r="D178" s="3" t="s">
        <v>86</v>
      </c>
      <c r="E178" s="3" t="s">
        <v>64</v>
      </c>
      <c r="F178" s="3" t="s">
        <v>65</v>
      </c>
      <c r="G178" s="3" t="s">
        <v>115</v>
      </c>
      <c r="H178" s="3" t="s">
        <v>115</v>
      </c>
      <c r="I178" s="3" t="s">
        <v>2</v>
      </c>
      <c r="J178" s="3" t="s">
        <v>58</v>
      </c>
      <c r="K178" s="4" t="s">
        <v>59</v>
      </c>
      <c r="L178" s="4" t="s">
        <v>59</v>
      </c>
      <c r="M178" s="6"/>
      <c r="N178" s="4" t="s">
        <v>15</v>
      </c>
      <c r="O178" s="6"/>
      <c r="P178" s="7"/>
      <c r="Q178" s="6"/>
      <c r="R178" s="4" t="s">
        <v>59</v>
      </c>
      <c r="S178" s="6"/>
      <c r="T178" s="5"/>
      <c r="U178" s="6"/>
      <c r="V178" s="4" t="s">
        <v>15</v>
      </c>
      <c r="W178" s="6"/>
      <c r="X178" s="4" t="s">
        <v>14</v>
      </c>
      <c r="Y178" s="6"/>
      <c r="Z178" s="4" t="s">
        <v>16</v>
      </c>
      <c r="AA178" s="6" t="s">
        <v>826</v>
      </c>
      <c r="AB178" s="6" t="s">
        <v>827</v>
      </c>
      <c r="AC178" s="6" t="s">
        <v>828</v>
      </c>
    </row>
    <row r="179" spans="1:29" ht="26" hidden="1" x14ac:dyDescent="0.35">
      <c r="A179" s="2">
        <v>1307</v>
      </c>
      <c r="B179" s="3" t="s">
        <v>108</v>
      </c>
      <c r="C179" s="3" t="s">
        <v>52</v>
      </c>
      <c r="D179" s="3" t="s">
        <v>86</v>
      </c>
      <c r="E179" s="3" t="s">
        <v>64</v>
      </c>
      <c r="F179" s="3" t="s">
        <v>65</v>
      </c>
      <c r="G179" s="3" t="s">
        <v>115</v>
      </c>
      <c r="H179" s="3" t="s">
        <v>115</v>
      </c>
      <c r="I179" s="3" t="s">
        <v>2</v>
      </c>
      <c r="J179" s="3" t="s">
        <v>58</v>
      </c>
      <c r="K179" s="4" t="s">
        <v>14</v>
      </c>
      <c r="L179" s="5"/>
      <c r="M179" s="6"/>
      <c r="N179" s="5"/>
      <c r="O179" s="6"/>
      <c r="P179" s="7"/>
      <c r="Q179" s="6"/>
      <c r="R179" s="5"/>
      <c r="S179" s="6"/>
      <c r="T179" s="5"/>
      <c r="U179" s="6"/>
      <c r="V179" s="5"/>
      <c r="W179" s="6"/>
      <c r="X179" s="4" t="s">
        <v>15</v>
      </c>
      <c r="Y179" s="6"/>
      <c r="Z179" s="4" t="s">
        <v>16</v>
      </c>
      <c r="AA179" s="6" t="s">
        <v>829</v>
      </c>
      <c r="AB179" s="6" t="s">
        <v>830</v>
      </c>
      <c r="AC179" s="6" t="s">
        <v>831</v>
      </c>
    </row>
    <row r="180" spans="1:29" x14ac:dyDescent="0.35">
      <c r="A180" s="2">
        <v>1351</v>
      </c>
      <c r="B180" s="3" t="s">
        <v>51</v>
      </c>
      <c r="C180" s="3" t="s">
        <v>75</v>
      </c>
      <c r="D180" s="3" t="s">
        <v>86</v>
      </c>
      <c r="E180" s="3" t="s">
        <v>76</v>
      </c>
      <c r="F180" s="3" t="s">
        <v>77</v>
      </c>
      <c r="G180" s="3" t="s">
        <v>78</v>
      </c>
      <c r="H180" s="3" t="s">
        <v>78</v>
      </c>
      <c r="I180" s="3" t="s">
        <v>2</v>
      </c>
      <c r="J180" s="3" t="s">
        <v>58</v>
      </c>
      <c r="K180" s="4" t="s">
        <v>59</v>
      </c>
      <c r="L180" s="5"/>
      <c r="M180" s="6"/>
      <c r="N180" s="4" t="s">
        <v>14</v>
      </c>
      <c r="O180" s="6"/>
      <c r="P180" s="3" t="s">
        <v>79</v>
      </c>
      <c r="Q180" s="6"/>
      <c r="R180" s="5"/>
      <c r="S180" s="6"/>
      <c r="T180" s="5"/>
      <c r="U180" s="6"/>
      <c r="V180" s="5"/>
      <c r="W180" s="6"/>
      <c r="X180" s="4" t="s">
        <v>59</v>
      </c>
      <c r="Y180" s="6"/>
      <c r="Z180" s="4" t="s">
        <v>16</v>
      </c>
      <c r="AA180" s="6" t="s">
        <v>832</v>
      </c>
      <c r="AB180" s="6" t="s">
        <v>833</v>
      </c>
      <c r="AC180" s="6" t="s">
        <v>834</v>
      </c>
    </row>
    <row r="181" spans="1:29" ht="39" x14ac:dyDescent="0.35">
      <c r="A181" s="2">
        <v>1342</v>
      </c>
      <c r="B181" s="3" t="s">
        <v>51</v>
      </c>
      <c r="C181" s="3" t="s">
        <v>52</v>
      </c>
      <c r="D181" s="3" t="s">
        <v>53</v>
      </c>
      <c r="E181" s="3" t="s">
        <v>54</v>
      </c>
      <c r="F181" s="3" t="s">
        <v>55</v>
      </c>
      <c r="G181" s="3" t="s">
        <v>56</v>
      </c>
      <c r="H181" s="3" t="s">
        <v>56</v>
      </c>
      <c r="I181" s="3" t="s">
        <v>57</v>
      </c>
      <c r="J181" s="3" t="s">
        <v>58</v>
      </c>
      <c r="K181" s="4" t="s">
        <v>14</v>
      </c>
      <c r="L181" s="4" t="s">
        <v>59</v>
      </c>
      <c r="M181" s="6"/>
      <c r="N181" s="4" t="s">
        <v>13</v>
      </c>
      <c r="O181" s="6"/>
      <c r="P181" s="7"/>
      <c r="Q181" s="6"/>
      <c r="R181" s="4" t="s">
        <v>13</v>
      </c>
      <c r="S181" s="6"/>
      <c r="T181" s="4" t="s">
        <v>14</v>
      </c>
      <c r="U181" s="6"/>
      <c r="V181" s="4" t="s">
        <v>15</v>
      </c>
      <c r="W181" s="6"/>
      <c r="X181" s="4" t="s">
        <v>59</v>
      </c>
      <c r="Y181" s="6"/>
      <c r="Z181" s="4" t="s">
        <v>16</v>
      </c>
      <c r="AA181" s="6" t="s">
        <v>835</v>
      </c>
      <c r="AB181" s="6" t="s">
        <v>836</v>
      </c>
      <c r="AC181" s="6" t="s">
        <v>837</v>
      </c>
    </row>
    <row r="182" spans="1:29" ht="65" hidden="1" x14ac:dyDescent="0.35">
      <c r="A182" s="2">
        <v>1343</v>
      </c>
      <c r="B182" s="3" t="s">
        <v>108</v>
      </c>
      <c r="C182" s="3" t="s">
        <v>52</v>
      </c>
      <c r="D182" s="3" t="s">
        <v>86</v>
      </c>
      <c r="E182" s="3" t="s">
        <v>191</v>
      </c>
      <c r="F182" s="3" t="s">
        <v>97</v>
      </c>
      <c r="G182" s="3" t="s">
        <v>226</v>
      </c>
      <c r="H182" s="3" t="s">
        <v>226</v>
      </c>
      <c r="I182" s="3" t="s">
        <v>4</v>
      </c>
      <c r="J182" s="3" t="s">
        <v>58</v>
      </c>
      <c r="K182" s="4" t="s">
        <v>13</v>
      </c>
      <c r="L182" s="4" t="s">
        <v>15</v>
      </c>
      <c r="M182" s="6"/>
      <c r="N182" s="4" t="s">
        <v>11</v>
      </c>
      <c r="O182" s="6" t="s">
        <v>838</v>
      </c>
      <c r="P182" s="3" t="s">
        <v>79</v>
      </c>
      <c r="Q182" s="6"/>
      <c r="R182" s="5"/>
      <c r="S182" s="6"/>
      <c r="T182" s="4" t="s">
        <v>9</v>
      </c>
      <c r="U182" s="6" t="s">
        <v>839</v>
      </c>
      <c r="V182" s="4" t="s">
        <v>10</v>
      </c>
      <c r="W182" s="6" t="s">
        <v>840</v>
      </c>
      <c r="X182" s="4" t="s">
        <v>10</v>
      </c>
      <c r="Y182" s="6" t="s">
        <v>841</v>
      </c>
      <c r="Z182" s="4" t="s">
        <v>13</v>
      </c>
      <c r="AA182" s="6" t="s">
        <v>842</v>
      </c>
      <c r="AB182" s="6" t="s">
        <v>843</v>
      </c>
      <c r="AC182" s="6" t="s">
        <v>844</v>
      </c>
    </row>
    <row r="183" spans="1:29" ht="39" x14ac:dyDescent="0.35">
      <c r="A183" s="2">
        <v>1344</v>
      </c>
      <c r="B183" s="3" t="s">
        <v>51</v>
      </c>
      <c r="C183" s="3" t="s">
        <v>75</v>
      </c>
      <c r="D183" s="3" t="s">
        <v>53</v>
      </c>
      <c r="E183" s="3" t="s">
        <v>742</v>
      </c>
      <c r="F183" s="3" t="s">
        <v>55</v>
      </c>
      <c r="G183" s="3" t="s">
        <v>56</v>
      </c>
      <c r="H183" s="3" t="s">
        <v>56</v>
      </c>
      <c r="I183" s="3" t="s">
        <v>4</v>
      </c>
      <c r="J183" s="3" t="s">
        <v>58</v>
      </c>
      <c r="K183" s="4" t="s">
        <v>13</v>
      </c>
      <c r="L183" s="4" t="s">
        <v>15</v>
      </c>
      <c r="M183" s="6"/>
      <c r="N183" s="5"/>
      <c r="O183" s="6"/>
      <c r="P183" s="7"/>
      <c r="Q183" s="6"/>
      <c r="R183" s="5"/>
      <c r="S183" s="6"/>
      <c r="T183" s="5"/>
      <c r="U183" s="6"/>
      <c r="V183" s="4" t="s">
        <v>59</v>
      </c>
      <c r="W183" s="6"/>
      <c r="X183" s="4" t="s">
        <v>14</v>
      </c>
      <c r="Y183" s="6"/>
      <c r="Z183" s="4" t="s">
        <v>14</v>
      </c>
      <c r="AA183" s="6" t="s">
        <v>845</v>
      </c>
      <c r="AB183" s="6" t="s">
        <v>846</v>
      </c>
      <c r="AC183" s="6" t="s">
        <v>847</v>
      </c>
    </row>
    <row r="184" spans="1:29" ht="39" hidden="1" x14ac:dyDescent="0.35">
      <c r="A184" s="2">
        <v>1361</v>
      </c>
      <c r="B184" s="3" t="s">
        <v>108</v>
      </c>
      <c r="C184" s="3" t="s">
        <v>52</v>
      </c>
      <c r="D184" s="3" t="s">
        <v>86</v>
      </c>
      <c r="E184" s="3" t="s">
        <v>191</v>
      </c>
      <c r="F184" s="3" t="s">
        <v>97</v>
      </c>
      <c r="G184" s="3" t="s">
        <v>78</v>
      </c>
      <c r="H184" s="3" t="s">
        <v>78</v>
      </c>
      <c r="I184" s="3" t="s">
        <v>2</v>
      </c>
      <c r="J184" s="3" t="s">
        <v>58</v>
      </c>
      <c r="K184" s="4" t="s">
        <v>15</v>
      </c>
      <c r="L184" s="4" t="s">
        <v>59</v>
      </c>
      <c r="M184" s="6"/>
      <c r="N184" s="4" t="s">
        <v>14</v>
      </c>
      <c r="O184" s="6"/>
      <c r="P184" s="3" t="s">
        <v>79</v>
      </c>
      <c r="Q184" s="6"/>
      <c r="R184" s="5"/>
      <c r="S184" s="6"/>
      <c r="T184" s="4" t="s">
        <v>59</v>
      </c>
      <c r="U184" s="6"/>
      <c r="V184" s="5"/>
      <c r="W184" s="6"/>
      <c r="X184" s="4" t="s">
        <v>59</v>
      </c>
      <c r="Y184" s="6"/>
      <c r="Z184" s="4" t="s">
        <v>16</v>
      </c>
      <c r="AA184" s="6" t="s">
        <v>848</v>
      </c>
      <c r="AB184" s="6" t="s">
        <v>849</v>
      </c>
      <c r="AC184" s="6" t="s">
        <v>850</v>
      </c>
    </row>
    <row r="185" spans="1:29" ht="65" x14ac:dyDescent="0.35">
      <c r="A185" s="2">
        <v>1354</v>
      </c>
      <c r="B185" s="3" t="s">
        <v>51</v>
      </c>
      <c r="C185" s="3" t="s">
        <v>75</v>
      </c>
      <c r="D185" s="3" t="s">
        <v>86</v>
      </c>
      <c r="E185" s="3" t="s">
        <v>202</v>
      </c>
      <c r="F185" s="3" t="s">
        <v>65</v>
      </c>
      <c r="G185" s="3" t="s">
        <v>226</v>
      </c>
      <c r="H185" s="3" t="s">
        <v>226</v>
      </c>
      <c r="I185" s="3" t="s">
        <v>4</v>
      </c>
      <c r="J185" s="3" t="s">
        <v>58</v>
      </c>
      <c r="K185" s="4" t="s">
        <v>15</v>
      </c>
      <c r="L185" s="4" t="s">
        <v>59</v>
      </c>
      <c r="M185" s="6"/>
      <c r="N185" s="4" t="s">
        <v>14</v>
      </c>
      <c r="O185" s="6"/>
      <c r="P185" s="7"/>
      <c r="Q185" s="6"/>
      <c r="R185" s="5"/>
      <c r="S185" s="6"/>
      <c r="T185" s="4" t="s">
        <v>14</v>
      </c>
      <c r="U185" s="6"/>
      <c r="V185" s="4" t="s">
        <v>59</v>
      </c>
      <c r="W185" s="6"/>
      <c r="X185" s="4" t="s">
        <v>15</v>
      </c>
      <c r="Y185" s="6"/>
      <c r="Z185" s="4" t="s">
        <v>16</v>
      </c>
      <c r="AA185" s="6" t="s">
        <v>851</v>
      </c>
      <c r="AB185" s="6" t="s">
        <v>852</v>
      </c>
      <c r="AC185" s="6" t="s">
        <v>853</v>
      </c>
    </row>
    <row r="186" spans="1:29" ht="78" x14ac:dyDescent="0.35">
      <c r="A186" s="2">
        <v>1356</v>
      </c>
      <c r="B186" s="3" t="s">
        <v>51</v>
      </c>
      <c r="C186" s="3" t="s">
        <v>52</v>
      </c>
      <c r="D186" s="3" t="s">
        <v>86</v>
      </c>
      <c r="E186" s="3" t="s">
        <v>64</v>
      </c>
      <c r="F186" s="3" t="s">
        <v>65</v>
      </c>
      <c r="G186" s="3" t="s">
        <v>115</v>
      </c>
      <c r="H186" s="3" t="s">
        <v>115</v>
      </c>
      <c r="I186" s="3" t="s">
        <v>4</v>
      </c>
      <c r="J186" s="3" t="s">
        <v>58</v>
      </c>
      <c r="K186" s="4" t="s">
        <v>13</v>
      </c>
      <c r="L186" s="4" t="s">
        <v>12</v>
      </c>
      <c r="M186" s="6" t="s">
        <v>854</v>
      </c>
      <c r="N186" s="4" t="s">
        <v>11</v>
      </c>
      <c r="O186" s="6" t="s">
        <v>855</v>
      </c>
      <c r="P186" s="7"/>
      <c r="Q186" s="6"/>
      <c r="R186" s="5"/>
      <c r="S186" s="6"/>
      <c r="T186" s="4" t="s">
        <v>13</v>
      </c>
      <c r="U186" s="6"/>
      <c r="V186" s="4" t="s">
        <v>14</v>
      </c>
      <c r="W186" s="6"/>
      <c r="X186" s="4" t="s">
        <v>15</v>
      </c>
      <c r="Y186" s="6"/>
      <c r="Z186" s="4" t="s">
        <v>14</v>
      </c>
      <c r="AA186" s="6" t="s">
        <v>856</v>
      </c>
      <c r="AB186" s="6" t="s">
        <v>857</v>
      </c>
      <c r="AC186" s="6" t="s">
        <v>858</v>
      </c>
    </row>
    <row r="187" spans="1:29" ht="78" hidden="1" x14ac:dyDescent="0.35">
      <c r="A187" s="2">
        <v>1360</v>
      </c>
      <c r="B187" s="3" t="s">
        <v>108</v>
      </c>
      <c r="C187" s="3" t="s">
        <v>75</v>
      </c>
      <c r="D187" s="3" t="s">
        <v>53</v>
      </c>
      <c r="E187" s="3" t="s">
        <v>76</v>
      </c>
      <c r="F187" s="3" t="s">
        <v>77</v>
      </c>
      <c r="G187" s="3" t="s">
        <v>78</v>
      </c>
      <c r="H187" s="3" t="s">
        <v>78</v>
      </c>
      <c r="I187" s="3" t="s">
        <v>57</v>
      </c>
      <c r="J187" s="3" t="s">
        <v>58</v>
      </c>
      <c r="K187" s="4" t="s">
        <v>11</v>
      </c>
      <c r="L187" s="4" t="s">
        <v>13</v>
      </c>
      <c r="M187" s="6"/>
      <c r="N187" s="5"/>
      <c r="O187" s="6"/>
      <c r="P187" s="7"/>
      <c r="Q187" s="6"/>
      <c r="R187" s="5"/>
      <c r="S187" s="6"/>
      <c r="T187" s="5"/>
      <c r="U187" s="6"/>
      <c r="V187" s="5"/>
      <c r="W187" s="6"/>
      <c r="X187" s="4" t="s">
        <v>72</v>
      </c>
      <c r="Y187" s="6"/>
      <c r="Z187" s="4" t="s">
        <v>11</v>
      </c>
      <c r="AA187" s="6" t="s">
        <v>859</v>
      </c>
      <c r="AB187" s="6" t="s">
        <v>860</v>
      </c>
      <c r="AC187" s="6" t="s">
        <v>861</v>
      </c>
    </row>
    <row r="188" spans="1:29" ht="91" hidden="1" x14ac:dyDescent="0.35">
      <c r="A188" s="2">
        <v>1367</v>
      </c>
      <c r="B188" s="3" t="s">
        <v>108</v>
      </c>
      <c r="C188" s="3" t="s">
        <v>52</v>
      </c>
      <c r="D188" s="3" t="s">
        <v>86</v>
      </c>
      <c r="E188" s="3" t="s">
        <v>64</v>
      </c>
      <c r="F188" s="3" t="s">
        <v>65</v>
      </c>
      <c r="G188" s="3" t="s">
        <v>115</v>
      </c>
      <c r="H188" s="3" t="s">
        <v>115</v>
      </c>
      <c r="I188" s="3" t="s">
        <v>2</v>
      </c>
      <c r="J188" s="3" t="s">
        <v>58</v>
      </c>
      <c r="K188" s="4" t="s">
        <v>14</v>
      </c>
      <c r="L188" s="4" t="s">
        <v>59</v>
      </c>
      <c r="M188" s="6"/>
      <c r="N188" s="4" t="s">
        <v>14</v>
      </c>
      <c r="O188" s="6"/>
      <c r="P188" s="7"/>
      <c r="Q188" s="6"/>
      <c r="R188" s="5"/>
      <c r="S188" s="6"/>
      <c r="T188" s="5"/>
      <c r="U188" s="6"/>
      <c r="V188" s="5"/>
      <c r="W188" s="6"/>
      <c r="X188" s="4" t="s">
        <v>59</v>
      </c>
      <c r="Y188" s="6"/>
      <c r="Z188" s="4" t="s">
        <v>16</v>
      </c>
      <c r="AA188" s="6" t="s">
        <v>862</v>
      </c>
      <c r="AB188" s="6" t="s">
        <v>863</v>
      </c>
      <c r="AC188" s="6" t="s">
        <v>864</v>
      </c>
    </row>
    <row r="189" spans="1:29" ht="52" x14ac:dyDescent="0.35">
      <c r="A189" s="2">
        <v>1364</v>
      </c>
      <c r="B189" s="3" t="s">
        <v>51</v>
      </c>
      <c r="C189" s="3" t="s">
        <v>52</v>
      </c>
      <c r="D189" s="3" t="s">
        <v>53</v>
      </c>
      <c r="E189" s="3" t="s">
        <v>64</v>
      </c>
      <c r="F189" s="3" t="s">
        <v>65</v>
      </c>
      <c r="G189" s="3" t="s">
        <v>66</v>
      </c>
      <c r="H189" s="3" t="s">
        <v>67</v>
      </c>
      <c r="I189" s="3" t="s">
        <v>57</v>
      </c>
      <c r="J189" s="3" t="s">
        <v>58</v>
      </c>
      <c r="K189" s="4" t="s">
        <v>15</v>
      </c>
      <c r="L189" s="5"/>
      <c r="M189" s="6"/>
      <c r="N189" s="4" t="s">
        <v>15</v>
      </c>
      <c r="O189" s="6"/>
      <c r="P189" s="7"/>
      <c r="Q189" s="6"/>
      <c r="R189" s="4" t="s">
        <v>11</v>
      </c>
      <c r="S189" s="6" t="s">
        <v>865</v>
      </c>
      <c r="T189" s="4" t="s">
        <v>14</v>
      </c>
      <c r="U189" s="6"/>
      <c r="V189" s="4" t="s">
        <v>14</v>
      </c>
      <c r="W189" s="6"/>
      <c r="X189" s="4" t="s">
        <v>13</v>
      </c>
      <c r="Y189" s="6"/>
      <c r="Z189" s="4" t="s">
        <v>15</v>
      </c>
      <c r="AA189" s="6" t="s">
        <v>866</v>
      </c>
      <c r="AB189" s="6" t="s">
        <v>867</v>
      </c>
      <c r="AC189" s="6" t="s">
        <v>868</v>
      </c>
    </row>
    <row r="190" spans="1:29" ht="117" x14ac:dyDescent="0.35">
      <c r="A190" s="2">
        <v>1365</v>
      </c>
      <c r="B190" s="3" t="s">
        <v>51</v>
      </c>
      <c r="C190" s="3" t="s">
        <v>52</v>
      </c>
      <c r="D190" s="3" t="s">
        <v>53</v>
      </c>
      <c r="E190" s="3" t="s">
        <v>87</v>
      </c>
      <c r="F190" s="3" t="s">
        <v>77</v>
      </c>
      <c r="G190" s="3" t="s">
        <v>103</v>
      </c>
      <c r="H190" s="3" t="s">
        <v>104</v>
      </c>
      <c r="I190" s="3" t="s">
        <v>4</v>
      </c>
      <c r="J190" s="3" t="s">
        <v>58</v>
      </c>
      <c r="K190" s="4" t="s">
        <v>12</v>
      </c>
      <c r="L190" s="5"/>
      <c r="M190" s="6"/>
      <c r="N190" s="4" t="s">
        <v>14</v>
      </c>
      <c r="O190" s="6"/>
      <c r="P190" s="3" t="s">
        <v>79</v>
      </c>
      <c r="Q190" s="6"/>
      <c r="R190" s="5"/>
      <c r="S190" s="6"/>
      <c r="T190" s="4" t="s">
        <v>9</v>
      </c>
      <c r="U190" s="6" t="s">
        <v>869</v>
      </c>
      <c r="V190" s="5"/>
      <c r="W190" s="6"/>
      <c r="X190" s="4" t="s">
        <v>14</v>
      </c>
      <c r="Y190" s="6"/>
      <c r="Z190" s="4" t="s">
        <v>11</v>
      </c>
      <c r="AA190" s="6" t="s">
        <v>870</v>
      </c>
      <c r="AB190" s="6" t="s">
        <v>871</v>
      </c>
      <c r="AC190" s="6" t="s">
        <v>872</v>
      </c>
    </row>
    <row r="191" spans="1:29" ht="65" x14ac:dyDescent="0.35">
      <c r="A191" s="2">
        <v>1059</v>
      </c>
      <c r="B191" s="3" t="s">
        <v>51</v>
      </c>
      <c r="C191" s="3" t="s">
        <v>52</v>
      </c>
      <c r="D191" s="3" t="s">
        <v>53</v>
      </c>
      <c r="E191" s="3" t="s">
        <v>191</v>
      </c>
      <c r="F191" s="3" t="s">
        <v>97</v>
      </c>
      <c r="G191" s="3" t="s">
        <v>78</v>
      </c>
      <c r="H191" s="3" t="s">
        <v>78</v>
      </c>
      <c r="I191" s="3" t="s">
        <v>2</v>
      </c>
      <c r="J191" s="3" t="s">
        <v>58</v>
      </c>
      <c r="K191" s="4" t="s">
        <v>9</v>
      </c>
      <c r="L191" s="4" t="s">
        <v>15</v>
      </c>
      <c r="M191" s="6"/>
      <c r="N191" s="4" t="s">
        <v>8</v>
      </c>
      <c r="O191" s="6" t="s">
        <v>873</v>
      </c>
      <c r="P191" s="3" t="s">
        <v>69</v>
      </c>
      <c r="Q191" s="6" t="s">
        <v>874</v>
      </c>
      <c r="R191" s="5"/>
      <c r="S191" s="6"/>
      <c r="T191" s="4" t="s">
        <v>9</v>
      </c>
      <c r="U191" s="6" t="s">
        <v>875</v>
      </c>
      <c r="V191" s="4" t="s">
        <v>9</v>
      </c>
      <c r="W191" s="6" t="s">
        <v>876</v>
      </c>
      <c r="X191" s="4" t="s">
        <v>72</v>
      </c>
      <c r="Y191" s="6"/>
      <c r="Z191" s="4" t="s">
        <v>7</v>
      </c>
      <c r="AA191" s="6" t="s">
        <v>877</v>
      </c>
      <c r="AB191" s="6" t="s">
        <v>878</v>
      </c>
      <c r="AC191" s="6" t="s">
        <v>879</v>
      </c>
    </row>
    <row r="192" spans="1:29" ht="65" hidden="1" x14ac:dyDescent="0.35">
      <c r="A192" s="2">
        <v>1369</v>
      </c>
      <c r="B192" s="3" t="s">
        <v>108</v>
      </c>
      <c r="C192" s="3" t="s">
        <v>52</v>
      </c>
      <c r="D192" s="3" t="s">
        <v>86</v>
      </c>
      <c r="E192" s="3" t="s">
        <v>54</v>
      </c>
      <c r="F192" s="3" t="s">
        <v>55</v>
      </c>
      <c r="G192" s="3" t="s">
        <v>56</v>
      </c>
      <c r="H192" s="3" t="s">
        <v>56</v>
      </c>
      <c r="I192" s="3" t="s">
        <v>127</v>
      </c>
      <c r="J192" s="3" t="s">
        <v>58</v>
      </c>
      <c r="K192" s="4" t="s">
        <v>128</v>
      </c>
      <c r="L192" s="5"/>
      <c r="M192" s="6"/>
      <c r="N192" s="4" t="s">
        <v>13</v>
      </c>
      <c r="O192" s="6"/>
      <c r="P192" s="3" t="s">
        <v>109</v>
      </c>
      <c r="Q192" s="6" t="s">
        <v>880</v>
      </c>
      <c r="R192" s="4" t="s">
        <v>14</v>
      </c>
      <c r="S192" s="6"/>
      <c r="T192" s="4" t="s">
        <v>11</v>
      </c>
      <c r="U192" s="6" t="s">
        <v>881</v>
      </c>
      <c r="V192" s="4" t="s">
        <v>11</v>
      </c>
      <c r="W192" s="6" t="s">
        <v>882</v>
      </c>
      <c r="X192" s="4" t="s">
        <v>14</v>
      </c>
      <c r="Y192" s="6"/>
      <c r="Z192" s="4" t="s">
        <v>9</v>
      </c>
      <c r="AA192" s="6" t="s">
        <v>883</v>
      </c>
      <c r="AB192" s="6" t="s">
        <v>884</v>
      </c>
      <c r="AC192" s="6" t="s">
        <v>885</v>
      </c>
    </row>
    <row r="193" spans="1:29" ht="39" x14ac:dyDescent="0.35">
      <c r="A193" s="2">
        <v>1370</v>
      </c>
      <c r="B193" s="3" t="s">
        <v>51</v>
      </c>
      <c r="C193" s="3" t="s">
        <v>52</v>
      </c>
      <c r="D193" s="3" t="s">
        <v>86</v>
      </c>
      <c r="E193" s="3" t="s">
        <v>87</v>
      </c>
      <c r="F193" s="3" t="s">
        <v>77</v>
      </c>
      <c r="G193" s="3" t="s">
        <v>103</v>
      </c>
      <c r="H193" s="3" t="s">
        <v>104</v>
      </c>
      <c r="I193" s="3" t="s">
        <v>4</v>
      </c>
      <c r="J193" s="3" t="s">
        <v>58</v>
      </c>
      <c r="K193" s="4" t="s">
        <v>13</v>
      </c>
      <c r="L193" s="4" t="s">
        <v>13</v>
      </c>
      <c r="M193" s="6"/>
      <c r="N193" s="4" t="s">
        <v>13</v>
      </c>
      <c r="O193" s="6"/>
      <c r="P193" s="7"/>
      <c r="Q193" s="6"/>
      <c r="R193" s="5"/>
      <c r="S193" s="6"/>
      <c r="T193" s="4" t="s">
        <v>12</v>
      </c>
      <c r="U193" s="6" t="s">
        <v>886</v>
      </c>
      <c r="V193" s="4" t="s">
        <v>12</v>
      </c>
      <c r="W193" s="6" t="s">
        <v>887</v>
      </c>
      <c r="X193" s="4" t="s">
        <v>13</v>
      </c>
      <c r="Y193" s="6"/>
      <c r="Z193" s="4" t="s">
        <v>14</v>
      </c>
      <c r="AA193" s="6" t="s">
        <v>888</v>
      </c>
      <c r="AB193" s="6" t="s">
        <v>889</v>
      </c>
      <c r="AC193" s="6" t="s">
        <v>890</v>
      </c>
    </row>
    <row r="194" spans="1:29" ht="26" x14ac:dyDescent="0.35">
      <c r="A194" s="2">
        <v>1371</v>
      </c>
      <c r="B194" s="3" t="s">
        <v>51</v>
      </c>
      <c r="C194" s="3" t="s">
        <v>52</v>
      </c>
      <c r="D194" s="3" t="s">
        <v>53</v>
      </c>
      <c r="E194" s="3" t="s">
        <v>64</v>
      </c>
      <c r="F194" s="3" t="s">
        <v>65</v>
      </c>
      <c r="G194" s="3" t="s">
        <v>66</v>
      </c>
      <c r="H194" s="3" t="s">
        <v>67</v>
      </c>
      <c r="I194" s="3" t="s">
        <v>57</v>
      </c>
      <c r="J194" s="3" t="s">
        <v>58</v>
      </c>
      <c r="K194" s="4" t="s">
        <v>13</v>
      </c>
      <c r="L194" s="4" t="s">
        <v>14</v>
      </c>
      <c r="M194" s="6"/>
      <c r="N194" s="4" t="s">
        <v>14</v>
      </c>
      <c r="O194" s="6"/>
      <c r="P194" s="3" t="s">
        <v>79</v>
      </c>
      <c r="Q194" s="6"/>
      <c r="R194" s="5"/>
      <c r="S194" s="6"/>
      <c r="T194" s="4" t="s">
        <v>13</v>
      </c>
      <c r="U194" s="6"/>
      <c r="V194" s="4" t="s">
        <v>14</v>
      </c>
      <c r="W194" s="6"/>
      <c r="X194" s="4" t="s">
        <v>14</v>
      </c>
      <c r="Y194" s="6"/>
      <c r="Z194" s="4" t="s">
        <v>16</v>
      </c>
      <c r="AA194" s="6" t="s">
        <v>891</v>
      </c>
      <c r="AB194" s="6"/>
      <c r="AC194" s="6" t="s">
        <v>892</v>
      </c>
    </row>
    <row r="195" spans="1:29" ht="104" x14ac:dyDescent="0.35">
      <c r="A195" s="2">
        <v>1372</v>
      </c>
      <c r="B195" s="3" t="s">
        <v>51</v>
      </c>
      <c r="C195" s="3" t="s">
        <v>75</v>
      </c>
      <c r="D195" s="3" t="s">
        <v>53</v>
      </c>
      <c r="E195" s="3" t="s">
        <v>202</v>
      </c>
      <c r="F195" s="3" t="s">
        <v>65</v>
      </c>
      <c r="G195" s="3" t="s">
        <v>226</v>
      </c>
      <c r="H195" s="3" t="s">
        <v>226</v>
      </c>
      <c r="I195" s="3" t="s">
        <v>127</v>
      </c>
      <c r="J195" s="3" t="s">
        <v>58</v>
      </c>
      <c r="K195" s="4" t="s">
        <v>13</v>
      </c>
      <c r="L195" s="4" t="s">
        <v>15</v>
      </c>
      <c r="M195" s="6"/>
      <c r="N195" s="4" t="s">
        <v>13</v>
      </c>
      <c r="O195" s="6"/>
      <c r="P195" s="3" t="s">
        <v>69</v>
      </c>
      <c r="Q195" s="6" t="s">
        <v>893</v>
      </c>
      <c r="R195" s="4" t="s">
        <v>10</v>
      </c>
      <c r="S195" s="6" t="s">
        <v>894</v>
      </c>
      <c r="T195" s="4" t="s">
        <v>13</v>
      </c>
      <c r="U195" s="6"/>
      <c r="V195" s="4" t="s">
        <v>11</v>
      </c>
      <c r="W195" s="6" t="s">
        <v>895</v>
      </c>
      <c r="X195" s="4" t="s">
        <v>14</v>
      </c>
      <c r="Y195" s="6"/>
      <c r="Z195" s="4" t="s">
        <v>11</v>
      </c>
      <c r="AA195" s="6" t="s">
        <v>896</v>
      </c>
      <c r="AB195" s="6" t="s">
        <v>897</v>
      </c>
      <c r="AC195" s="6" t="s">
        <v>898</v>
      </c>
    </row>
  </sheetData>
  <autoFilter ref="A1:AC195" xr:uid="{00000000-0001-0000-0000-000000000000}">
    <filterColumn colId="1">
      <filters>
        <filter val="No, respondent does not consent"/>
      </filters>
    </filterColumn>
  </autoFilter>
  <conditionalFormatting sqref="A2:AC195">
    <cfRule type="expression" dxfId="0" priority="1">
      <formula>MOD(ROW(),2)=0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A8019-348E-42FF-A7CA-31199B0D2B9E}">
  <dimension ref="B1:F29"/>
  <sheetViews>
    <sheetView topLeftCell="A3" zoomScale="150" zoomScaleNormal="150" workbookViewId="0">
      <selection activeCell="C24" sqref="C24"/>
    </sheetView>
  </sheetViews>
  <sheetFormatPr defaultColWidth="10.90625" defaultRowHeight="15.5" x14ac:dyDescent="0.35"/>
  <cols>
    <col min="1" max="1" width="10.90625" style="17"/>
    <col min="2" max="2" width="25.08984375" style="17" bestFit="1" customWidth="1"/>
    <col min="3" max="6" width="10.90625" style="33"/>
    <col min="7" max="16384" width="10.90625" style="17"/>
  </cols>
  <sheetData>
    <row r="1" spans="2:6" ht="23.5" x14ac:dyDescent="0.55000000000000004">
      <c r="B1" s="38" t="s">
        <v>899</v>
      </c>
      <c r="C1" s="38"/>
      <c r="D1" s="38"/>
      <c r="E1" s="38"/>
      <c r="F1" s="38"/>
    </row>
    <row r="2" spans="2:6" x14ac:dyDescent="0.35">
      <c r="C2" s="18" t="s">
        <v>900</v>
      </c>
      <c r="D2" s="19" t="s">
        <v>4</v>
      </c>
      <c r="E2" s="19" t="s">
        <v>901</v>
      </c>
      <c r="F2" s="19" t="s">
        <v>2</v>
      </c>
    </row>
    <row r="3" spans="2:6" x14ac:dyDescent="0.35">
      <c r="B3" s="20"/>
      <c r="C3" s="21">
        <v>242</v>
      </c>
      <c r="D3" s="22">
        <v>60</v>
      </c>
      <c r="E3" s="22">
        <v>100</v>
      </c>
      <c r="F3" s="22">
        <v>82</v>
      </c>
    </row>
    <row r="4" spans="2:6" x14ac:dyDescent="0.35">
      <c r="B4" s="36" t="s">
        <v>902</v>
      </c>
      <c r="C4" s="23">
        <v>7.605256999999999</v>
      </c>
      <c r="D4" s="23">
        <v>2.7042859999999997</v>
      </c>
      <c r="E4" s="23">
        <v>3.9338589999999991</v>
      </c>
      <c r="F4" s="23">
        <v>0.96711199999999986</v>
      </c>
    </row>
    <row r="5" spans="2:6" x14ac:dyDescent="0.35">
      <c r="B5" s="37"/>
      <c r="C5" s="24">
        <v>3.142241252510828E-2</v>
      </c>
      <c r="D5" s="24">
        <v>4.4886611215433421E-2</v>
      </c>
      <c r="E5" s="24">
        <v>3.9590596817735843E-2</v>
      </c>
      <c r="F5" s="24">
        <v>1.173361209264088E-2</v>
      </c>
    </row>
    <row r="6" spans="2:6" x14ac:dyDescent="0.35">
      <c r="B6" s="36" t="s">
        <v>8</v>
      </c>
      <c r="C6" s="23">
        <v>2.09816</v>
      </c>
      <c r="D6" s="25" t="s">
        <v>903</v>
      </c>
      <c r="E6" s="23">
        <v>1.2295729999999998</v>
      </c>
      <c r="F6" s="23">
        <v>0.868587</v>
      </c>
    </row>
    <row r="7" spans="2:6" x14ac:dyDescent="0.35">
      <c r="B7" s="37"/>
      <c r="C7" s="24">
        <v>8.6689048198740903E-3</v>
      </c>
      <c r="D7" s="26"/>
      <c r="E7" s="24">
        <v>1.237449763730065E-2</v>
      </c>
      <c r="F7" s="24">
        <v>1.0538244719030121E-2</v>
      </c>
    </row>
    <row r="8" spans="2:6" x14ac:dyDescent="0.35">
      <c r="B8" s="36" t="s">
        <v>9</v>
      </c>
      <c r="C8" s="23">
        <v>1.737174</v>
      </c>
      <c r="D8" s="25" t="s">
        <v>903</v>
      </c>
      <c r="E8" s="23">
        <v>0.868587</v>
      </c>
      <c r="F8" s="23">
        <v>0.868587</v>
      </c>
    </row>
    <row r="9" spans="2:6" x14ac:dyDescent="0.35">
      <c r="B9" s="37"/>
      <c r="C9" s="24">
        <v>7.1774297773096202E-3</v>
      </c>
      <c r="D9" s="26"/>
      <c r="E9" s="24">
        <v>8.7415125245024605E-3</v>
      </c>
      <c r="F9" s="24">
        <v>1.0538244719030121E-2</v>
      </c>
    </row>
    <row r="10" spans="2:6" x14ac:dyDescent="0.35">
      <c r="B10" s="36" t="s">
        <v>10</v>
      </c>
      <c r="C10" s="23">
        <v>3.6733019999999996</v>
      </c>
      <c r="D10" s="23">
        <v>0.96806400000000004</v>
      </c>
      <c r="E10" s="23">
        <v>0.868587</v>
      </c>
      <c r="F10" s="23">
        <v>1.8366509999999998</v>
      </c>
    </row>
    <row r="11" spans="2:6" x14ac:dyDescent="0.35">
      <c r="B11" s="37"/>
      <c r="C11" s="24">
        <v>1.517687183658689E-2</v>
      </c>
      <c r="D11" s="24">
        <v>1.6068238492399599E-2</v>
      </c>
      <c r="E11" s="24">
        <v>8.7415125245024605E-3</v>
      </c>
      <c r="F11" s="24">
        <v>2.2283407075458641E-2</v>
      </c>
    </row>
    <row r="12" spans="2:6" x14ac:dyDescent="0.35">
      <c r="B12" s="36" t="s">
        <v>11</v>
      </c>
      <c r="C12" s="23">
        <v>11.933692000000001</v>
      </c>
      <c r="D12" s="23">
        <v>2.9032399999999998</v>
      </c>
      <c r="E12" s="23">
        <v>4.9971159999999992</v>
      </c>
      <c r="F12" s="23">
        <v>4.0333360000000003</v>
      </c>
    </row>
    <row r="13" spans="2:6" x14ac:dyDescent="0.35">
      <c r="B13" s="37"/>
      <c r="C13" s="24">
        <v>4.9306077752741893E-2</v>
      </c>
      <c r="D13" s="24">
        <v>4.8188913874159363E-2</v>
      </c>
      <c r="E13" s="24">
        <v>5.0291280090988738E-2</v>
      </c>
      <c r="F13" s="24">
        <v>4.8934973470791163E-2</v>
      </c>
    </row>
    <row r="14" spans="2:6" x14ac:dyDescent="0.35">
      <c r="B14" s="36" t="s">
        <v>12</v>
      </c>
      <c r="C14" s="23">
        <v>10.766674</v>
      </c>
      <c r="D14" s="23">
        <v>0.96711199999999986</v>
      </c>
      <c r="E14" s="23">
        <v>4.639462</v>
      </c>
      <c r="F14" s="23">
        <v>5.1600999999999999</v>
      </c>
    </row>
    <row r="15" spans="2:6" x14ac:dyDescent="0.35">
      <c r="B15" s="37"/>
      <c r="C15" s="24">
        <v>4.4484344441135609E-2</v>
      </c>
      <c r="D15" s="24">
        <v>1.6052436889360162E-2</v>
      </c>
      <c r="E15" s="24">
        <v>4.6691828429337813E-2</v>
      </c>
      <c r="F15" s="24">
        <v>6.2605584212827664E-2</v>
      </c>
    </row>
    <row r="16" spans="2:6" x14ac:dyDescent="0.35">
      <c r="B16" s="36" t="s">
        <v>13</v>
      </c>
      <c r="C16" s="23">
        <v>34.254953999999998</v>
      </c>
      <c r="D16" s="23">
        <v>9.288392</v>
      </c>
      <c r="E16" s="23">
        <v>15.493393999999999</v>
      </c>
      <c r="F16" s="23">
        <v>9.4731679999999994</v>
      </c>
    </row>
    <row r="17" spans="2:6" x14ac:dyDescent="0.35">
      <c r="B17" s="37"/>
      <c r="C17" s="24">
        <v>0.14153016730619464</v>
      </c>
      <c r="D17" s="24">
        <v>0.15417172611200963</v>
      </c>
      <c r="E17" s="24">
        <v>0.15592646182599013</v>
      </c>
      <c r="F17" s="24">
        <v>0.11493444254690104</v>
      </c>
    </row>
    <row r="18" spans="2:6" x14ac:dyDescent="0.35">
      <c r="B18" s="36" t="s">
        <v>14</v>
      </c>
      <c r="C18" s="23">
        <v>52.081907999999984</v>
      </c>
      <c r="D18" s="23">
        <v>8.6718459999999986</v>
      </c>
      <c r="E18" s="23">
        <v>20.61215</v>
      </c>
      <c r="F18" s="23">
        <v>22.797911999999997</v>
      </c>
    </row>
    <row r="19" spans="2:6" x14ac:dyDescent="0.35">
      <c r="B19" s="37"/>
      <c r="C19" s="24">
        <v>0.21518525912677725</v>
      </c>
      <c r="D19" s="24">
        <v>0.14393809675534</v>
      </c>
      <c r="E19" s="24">
        <v>0.20744193429319505</v>
      </c>
      <c r="F19" s="24">
        <v>0.27659863173051574</v>
      </c>
    </row>
    <row r="20" spans="2:6" x14ac:dyDescent="0.35">
      <c r="B20" s="36" t="s">
        <v>15</v>
      </c>
      <c r="C20" s="23">
        <v>38.987329999999986</v>
      </c>
      <c r="D20" s="23">
        <v>8.5107660000000003</v>
      </c>
      <c r="E20" s="23">
        <v>14.316293999999999</v>
      </c>
      <c r="F20" s="23">
        <v>16.160270000000001</v>
      </c>
    </row>
    <row r="21" spans="2:6" x14ac:dyDescent="0.35">
      <c r="B21" s="37"/>
      <c r="C21" s="24">
        <v>0.16108278346313995</v>
      </c>
      <c r="D21" s="24">
        <v>0.14126443896375215</v>
      </c>
      <c r="E21" s="24">
        <v>0.14408005565989293</v>
      </c>
      <c r="F21" s="24">
        <v>0.19606657707932648</v>
      </c>
    </row>
    <row r="22" spans="2:6" x14ac:dyDescent="0.35">
      <c r="B22" s="36" t="s">
        <v>16</v>
      </c>
      <c r="C22" s="23">
        <v>78.894429000000002</v>
      </c>
      <c r="D22" s="23">
        <v>26.23334599999999</v>
      </c>
      <c r="E22" s="23">
        <v>32.404446</v>
      </c>
      <c r="F22" s="23">
        <v>20.256636999999994</v>
      </c>
    </row>
    <row r="23" spans="2:6" x14ac:dyDescent="0.35">
      <c r="B23" s="37"/>
      <c r="C23" s="24">
        <v>0.3259657489511355</v>
      </c>
      <c r="D23" s="24">
        <v>0.43542953769754567</v>
      </c>
      <c r="E23" s="24">
        <v>0.3261203201965534</v>
      </c>
      <c r="F23" s="24">
        <v>0.24576628235347772</v>
      </c>
    </row>
    <row r="24" spans="2:6" x14ac:dyDescent="0.35">
      <c r="B24" s="27" t="s">
        <v>904</v>
      </c>
      <c r="C24" s="28">
        <f>C5+C7+C9+C11+C13+C15</f>
        <v>0.15623604115275638</v>
      </c>
      <c r="D24" s="28">
        <f>D5+D7+D9+D11+D13+D15</f>
        <v>0.12519620047135255</v>
      </c>
      <c r="E24" s="28">
        <f>E5+E7+E9+E11+E13+E15</f>
        <v>0.16643122802436797</v>
      </c>
      <c r="F24" s="29">
        <f>F5+F7+F9+F11+F13+F15</f>
        <v>0.16663406628977859</v>
      </c>
    </row>
    <row r="25" spans="2:6" x14ac:dyDescent="0.35">
      <c r="B25" s="27" t="s">
        <v>905</v>
      </c>
      <c r="C25" s="28">
        <f>C17+C19</f>
        <v>0.35671542643297188</v>
      </c>
      <c r="D25" s="28">
        <f t="shared" ref="D25:F25" si="0">D17+D19</f>
        <v>0.29810982286734966</v>
      </c>
      <c r="E25" s="28">
        <f t="shared" si="0"/>
        <v>0.36336839611918514</v>
      </c>
      <c r="F25" s="28">
        <f t="shared" si="0"/>
        <v>0.39153307427741679</v>
      </c>
    </row>
    <row r="26" spans="2:6" x14ac:dyDescent="0.35">
      <c r="B26" s="27" t="s">
        <v>906</v>
      </c>
      <c r="C26" s="28">
        <f>C21+C23</f>
        <v>0.48704853241427548</v>
      </c>
      <c r="D26" s="28">
        <f>D21+D23</f>
        <v>0.57669397666129785</v>
      </c>
      <c r="E26" s="28">
        <f>E21+E23</f>
        <v>0.47020037585644636</v>
      </c>
      <c r="F26" s="28">
        <f>F21+F23</f>
        <v>0.4418328594328042</v>
      </c>
    </row>
    <row r="27" spans="2:6" x14ac:dyDescent="0.35">
      <c r="B27" s="27" t="s">
        <v>907</v>
      </c>
      <c r="C27" s="30">
        <f>C26-C24</f>
        <v>0.33081249126151913</v>
      </c>
      <c r="D27" s="31">
        <f t="shared" ref="D27:F27" si="1">D26-D24</f>
        <v>0.4514977761899453</v>
      </c>
      <c r="E27" s="31">
        <f t="shared" si="1"/>
        <v>0.30376914783207842</v>
      </c>
      <c r="F27" s="31">
        <f t="shared" si="1"/>
        <v>0.27519879314302564</v>
      </c>
    </row>
    <row r="28" spans="2:6" x14ac:dyDescent="0.35">
      <c r="B28" s="32" t="s">
        <v>908</v>
      </c>
      <c r="D28" s="18">
        <v>0.1</v>
      </c>
      <c r="E28" s="18">
        <v>0.3</v>
      </c>
      <c r="F28" s="18">
        <v>0.6</v>
      </c>
    </row>
    <row r="29" spans="2:6" ht="23.5" x14ac:dyDescent="0.55000000000000004">
      <c r="B29" s="34" t="s">
        <v>909</v>
      </c>
      <c r="C29" s="35">
        <f>D27*D28+E27*E28+F27*F28</f>
        <v>0.30139979785443344</v>
      </c>
    </row>
  </sheetData>
  <mergeCells count="11">
    <mergeCell ref="B12:B13"/>
    <mergeCell ref="B1:F1"/>
    <mergeCell ref="B4:B5"/>
    <mergeCell ref="B6:B7"/>
    <mergeCell ref="B8:B9"/>
    <mergeCell ref="B10:B11"/>
    <mergeCell ref="B14:B15"/>
    <mergeCell ref="B16:B17"/>
    <mergeCell ref="B18:B19"/>
    <mergeCell ref="B20:B21"/>
    <mergeCell ref="B22:B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DBBF224BDBF459F328B117F3874E2" ma:contentTypeVersion="16" ma:contentTypeDescription="Create a new document." ma:contentTypeScope="" ma:versionID="af22da075f0e97e59a508c1f3ec25351">
  <xsd:schema xmlns:xsd="http://www.w3.org/2001/XMLSchema" xmlns:xs="http://www.w3.org/2001/XMLSchema" xmlns:p="http://schemas.microsoft.com/office/2006/metadata/properties" xmlns:ns2="d921eea1-9716-4273-acc7-a5a5ce77ab43" xmlns:ns3="6b0c09f2-a4b2-474f-ae77-f50b09742b67" targetNamespace="http://schemas.microsoft.com/office/2006/metadata/properties" ma:root="true" ma:fieldsID="5a8aae7eff550d32c690ddcbb47651fa" ns2:_="" ns3:_="">
    <xsd:import namespace="d921eea1-9716-4273-acc7-a5a5ce77ab43"/>
    <xsd:import namespace="6b0c09f2-a4b2-474f-ae77-f50b09742b6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21eea1-9716-4273-acc7-a5a5ce77ab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2be92d5-a8f5-4c82-bef9-59ee16e2a49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0c09f2-a4b2-474f-ae77-f50b09742b6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9666e820-3efd-438b-97fc-472d30c0742e}" ma:internalName="TaxCatchAll" ma:showField="CatchAllData" ma:web="6b0c09f2-a4b2-474f-ae77-f50b09742b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921eea1-9716-4273-acc7-a5a5ce77ab43">
      <Terms xmlns="http://schemas.microsoft.com/office/infopath/2007/PartnerControls"/>
    </lcf76f155ced4ddcb4097134ff3c332f>
    <TaxCatchAll xmlns="6b0c09f2-a4b2-474f-ae77-f50b09742b6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0FE571-17F4-4FFF-882F-668FC4AE2E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21eea1-9716-4273-acc7-a5a5ce77ab43"/>
    <ds:schemaRef ds:uri="6b0c09f2-a4b2-474f-ae77-f50b09742b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123261-2271-4E1F-8FB6-E0BA34EBAC53}">
  <ds:schemaRefs>
    <ds:schemaRef ds:uri="http://purl.org/dc/terms/"/>
    <ds:schemaRef ds:uri="6b0c09f2-a4b2-474f-ae77-f50b09742b67"/>
    <ds:schemaRef ds:uri="http://www.w3.org/XML/1998/namespace"/>
    <ds:schemaRef ds:uri="http://purl.org/dc/elements/1.1/"/>
    <ds:schemaRef ds:uri="http://schemas.microsoft.com/office/2006/metadata/propertie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d921eea1-9716-4273-acc7-a5a5ce77ab43"/>
  </ds:schemaRefs>
</ds:datastoreItem>
</file>

<file path=customXml/itemProps3.xml><?xml version="1.0" encoding="utf-8"?>
<ds:datastoreItem xmlns:ds="http://schemas.openxmlformats.org/officeDocument/2006/customXml" ds:itemID="{9E40D1C2-9358-4D86-9EA9-231D72B869D5}">
  <ds:schemaRefs>
    <ds:schemaRef ds:uri="http://schemas.microsoft.com/sharepoint/v3/contenttype/forms"/>
  </ds:schemaRefs>
</ds:datastoreItem>
</file>

<file path=docMetadata/LabelInfo.xml><?xml version="1.0" encoding="utf-8"?>
<clbl:labelList xmlns:clbl="http://schemas.microsoft.com/office/2020/mipLabelMetadata">
  <clbl:label id="{c21157ca-bce3-41a8-8aa7-a23c4639610a}" enabled="0" method="" siteId="{c21157ca-bce3-41a8-8aa7-a23c4639610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nps non official</vt:lpstr>
      <vt:lpstr>2026</vt:lpstr>
      <vt:lpstr>Sheet1 (2)</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Pierce, Lindsay</cp:lastModifiedBy>
  <cp:revision/>
  <dcterms:created xsi:type="dcterms:W3CDTF">2011-08-01T14:22:18Z</dcterms:created>
  <dcterms:modified xsi:type="dcterms:W3CDTF">2026-08-25T13:57:03Z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0x0101009CDDBBF224BDBF459F328B117F3874E2</vt:lpwstr>
  </property>
  <property fmtid="{D5CDD505-2E9C-101B-9397-08002B2CF9AE}" pid="3" name="MediaServiceImageTags">
    <vt:lpwstr/>
  </property>
</Properties>
</file>