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liaz\Downloads\"/>
    </mc:Choice>
  </mc:AlternateContent>
  <xr:revisionPtr revIDLastSave="0" documentId="13_ncr:1_{D17820F1-3E9E-48BD-BFC3-83840FCB855A}" xr6:coauthVersionLast="47" xr6:coauthVersionMax="47" xr10:uidLastSave="{00000000-0000-0000-0000-000000000000}"/>
  <bookViews>
    <workbookView xWindow="-110" yWindow="-110" windowWidth="25180" windowHeight="16140" tabRatio="500" xr2:uid="{00000000-000D-0000-FFFF-FFFF00000000}"/>
  </bookViews>
  <sheets>
    <sheet name="Read Me" sheetId="2" r:id="rId1"/>
    <sheet name="Summary" sheetId="1" r:id="rId2"/>
    <sheet name="Categorized Verbatims" sheetId="3" r:id="rId3"/>
    <sheet name="Score Data" sheetId="4" r:id="rId4"/>
    <sheet name="Theme Stats" sheetId="5" r:id="rId5"/>
    <sheet name="Section Scores" sheetId="6" r:id="rId6"/>
    <sheet name="NPS Analysis" sheetId="7" r:id="rId7"/>
    <sheet name="Gap Analysis" sheetId="8" r:id="rId8"/>
    <sheet name="Charts"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62" i="8" l="1"/>
  <c r="C62" i="8" s="1"/>
  <c r="B61" i="8"/>
  <c r="C61" i="8" s="1"/>
  <c r="B60" i="8"/>
  <c r="C60" i="8" s="1"/>
  <c r="B59" i="8"/>
  <c r="C59" i="8" s="1"/>
  <c r="A55" i="8"/>
  <c r="A54" i="8"/>
  <c r="A53" i="8"/>
  <c r="A52" i="8"/>
  <c r="A51" i="8"/>
  <c r="A50" i="8"/>
  <c r="A49" i="8"/>
  <c r="A48" i="8"/>
  <c r="A47" i="8"/>
  <c r="A46" i="8"/>
  <c r="A45" i="8"/>
  <c r="A44" i="8"/>
  <c r="A43" i="8"/>
  <c r="A42" i="8"/>
  <c r="A41" i="8"/>
  <c r="A40" i="8"/>
  <c r="A39" i="8"/>
  <c r="A38" i="8"/>
  <c r="A37" i="8"/>
  <c r="A36" i="8"/>
  <c r="E32" i="8"/>
  <c r="D32" i="8"/>
  <c r="C32" i="8"/>
  <c r="B32" i="8"/>
  <c r="E31" i="8"/>
  <c r="D31" i="8"/>
  <c r="C31" i="8"/>
  <c r="B31" i="8"/>
  <c r="E30" i="8"/>
  <c r="D30" i="8"/>
  <c r="C30" i="8"/>
  <c r="B30" i="8"/>
  <c r="E29" i="8"/>
  <c r="D29" i="8"/>
  <c r="C29" i="8"/>
  <c r="B29" i="8"/>
  <c r="E28" i="8"/>
  <c r="D28" i="8"/>
  <c r="C28" i="8"/>
  <c r="B28" i="8"/>
  <c r="E27" i="8"/>
  <c r="D27" i="8"/>
  <c r="C27" i="8"/>
  <c r="B27" i="8"/>
  <c r="E7" i="7"/>
  <c r="G7" i="7" s="1"/>
  <c r="D7" i="7"/>
  <c r="C7" i="7"/>
  <c r="B7" i="7"/>
  <c r="E6" i="7"/>
  <c r="G6" i="7" s="1"/>
  <c r="D6" i="7"/>
  <c r="C6" i="7"/>
  <c r="B6" i="7"/>
  <c r="E5" i="7"/>
  <c r="G5" i="7" s="1"/>
  <c r="D5" i="7"/>
  <c r="C5" i="7"/>
  <c r="B5" i="7"/>
  <c r="E4" i="7"/>
  <c r="G4" i="7" s="1"/>
  <c r="D4" i="7"/>
  <c r="C4" i="7"/>
  <c r="B4" i="7"/>
  <c r="L11" i="6"/>
  <c r="K11" i="6"/>
  <c r="J11" i="6"/>
  <c r="I11" i="6"/>
  <c r="H11" i="6"/>
  <c r="B23" i="8" s="1"/>
  <c r="C11" i="6"/>
  <c r="B11" i="6"/>
  <c r="L10" i="6"/>
  <c r="K10" i="6"/>
  <c r="J10" i="6"/>
  <c r="I10" i="6"/>
  <c r="H10" i="6"/>
  <c r="B22" i="8" s="1"/>
  <c r="C10" i="6"/>
  <c r="B10" i="6"/>
  <c r="L9" i="6"/>
  <c r="K9" i="6"/>
  <c r="J9" i="6"/>
  <c r="I9" i="6"/>
  <c r="H9" i="6"/>
  <c r="B21" i="8" s="1"/>
  <c r="C9" i="6"/>
  <c r="B9" i="6"/>
  <c r="L8" i="6"/>
  <c r="K8" i="6"/>
  <c r="J8" i="6"/>
  <c r="I8" i="6"/>
  <c r="H8" i="6"/>
  <c r="B20" i="8" s="1"/>
  <c r="C8" i="6"/>
  <c r="B8" i="6"/>
  <c r="L7" i="6"/>
  <c r="K7" i="6"/>
  <c r="J7" i="6"/>
  <c r="I7" i="6"/>
  <c r="H7" i="6"/>
  <c r="B19" i="8" s="1"/>
  <c r="C7" i="6"/>
  <c r="B7" i="6"/>
  <c r="L6" i="6"/>
  <c r="K6" i="6"/>
  <c r="J6" i="6"/>
  <c r="I6" i="6"/>
  <c r="H6" i="6"/>
  <c r="B18" i="8" s="1"/>
  <c r="C6" i="6"/>
  <c r="B6" i="6"/>
  <c r="L5" i="6"/>
  <c r="K5" i="6"/>
  <c r="J5" i="6"/>
  <c r="I5" i="6"/>
  <c r="H5" i="6"/>
  <c r="B17" i="8" s="1"/>
  <c r="C5" i="6"/>
  <c r="B5" i="6"/>
  <c r="L4" i="6"/>
  <c r="K4" i="6"/>
  <c r="J4" i="6"/>
  <c r="I4" i="6"/>
  <c r="H4" i="6"/>
  <c r="B16" i="8" s="1"/>
  <c r="C4" i="6"/>
  <c r="B4" i="6"/>
  <c r="J23" i="5"/>
  <c r="H23" i="5"/>
  <c r="D23" i="5"/>
  <c r="C23" i="5"/>
  <c r="B23" i="5"/>
  <c r="J22" i="5"/>
  <c r="H22" i="5"/>
  <c r="D22" i="5"/>
  <c r="C22" i="5"/>
  <c r="B22" i="5"/>
  <c r="J21" i="5"/>
  <c r="H21" i="5"/>
  <c r="D21" i="5"/>
  <c r="C21" i="5"/>
  <c r="B21" i="5"/>
  <c r="J20" i="5"/>
  <c r="H20" i="5"/>
  <c r="D20" i="5"/>
  <c r="C20" i="5"/>
  <c r="B20" i="5"/>
  <c r="J19" i="5"/>
  <c r="H19" i="5"/>
  <c r="D19" i="5"/>
  <c r="C19" i="5"/>
  <c r="B19" i="5"/>
  <c r="J18" i="5"/>
  <c r="H18" i="5"/>
  <c r="D18" i="5"/>
  <c r="C18" i="5"/>
  <c r="B18" i="5"/>
  <c r="J17" i="5"/>
  <c r="H17" i="5"/>
  <c r="D17" i="5"/>
  <c r="C17" i="5"/>
  <c r="B17" i="5"/>
  <c r="J16" i="5"/>
  <c r="H16" i="5"/>
  <c r="D16" i="5"/>
  <c r="C16" i="5"/>
  <c r="B16" i="5"/>
  <c r="J15" i="5"/>
  <c r="H15" i="5"/>
  <c r="D15" i="5"/>
  <c r="C15" i="5"/>
  <c r="B15" i="5"/>
  <c r="J14" i="5"/>
  <c r="H14" i="5"/>
  <c r="D14" i="5"/>
  <c r="C14" i="5"/>
  <c r="B14" i="5"/>
  <c r="J13" i="5"/>
  <c r="H13" i="5"/>
  <c r="D13" i="5"/>
  <c r="C13" i="5"/>
  <c r="B13" i="5"/>
  <c r="J12" i="5"/>
  <c r="H12" i="5"/>
  <c r="D12" i="5"/>
  <c r="C12" i="5"/>
  <c r="B12" i="5"/>
  <c r="J11" i="5"/>
  <c r="H11" i="5"/>
  <c r="D11" i="5"/>
  <c r="C11" i="5"/>
  <c r="B11" i="5"/>
  <c r="J10" i="5"/>
  <c r="H10" i="5"/>
  <c r="D10" i="5"/>
  <c r="C10" i="5"/>
  <c r="B10" i="5"/>
  <c r="J9" i="5"/>
  <c r="H9" i="5"/>
  <c r="D9" i="5"/>
  <c r="C9" i="5"/>
  <c r="B9" i="5"/>
  <c r="J8" i="5"/>
  <c r="H8" i="5"/>
  <c r="D8" i="5"/>
  <c r="C8" i="5"/>
  <c r="B8" i="5"/>
  <c r="J7" i="5"/>
  <c r="H7" i="5"/>
  <c r="D7" i="5"/>
  <c r="C7" i="5"/>
  <c r="B7" i="5"/>
  <c r="J6" i="5"/>
  <c r="H6" i="5"/>
  <c r="D6" i="5"/>
  <c r="C6" i="5"/>
  <c r="B6" i="5"/>
  <c r="J5" i="5"/>
  <c r="H5" i="5"/>
  <c r="D5" i="5"/>
  <c r="B37" i="8" s="1"/>
  <c r="C5" i="5"/>
  <c r="B5" i="5"/>
  <c r="J4" i="5"/>
  <c r="H4" i="5"/>
  <c r="D4" i="5"/>
  <c r="C4" i="5"/>
  <c r="C24" i="5" s="1"/>
  <c r="B4" i="5"/>
  <c r="B52" i="1"/>
  <c r="B51" i="1"/>
  <c r="B50" i="1"/>
  <c r="B46" i="1"/>
  <c r="B40" i="1"/>
  <c r="C36" i="1"/>
  <c r="C35" i="1"/>
  <c r="C34" i="1"/>
  <c r="C33" i="1"/>
  <c r="C32" i="1"/>
  <c r="C31" i="1"/>
  <c r="C30" i="1"/>
  <c r="C29" i="1"/>
  <c r="C28" i="1"/>
  <c r="B15" i="1"/>
  <c r="B14" i="1"/>
  <c r="B13" i="1"/>
  <c r="B12" i="1"/>
  <c r="B9" i="1"/>
  <c r="C8" i="1"/>
  <c r="C6" i="1"/>
  <c r="F7" i="7" l="1"/>
  <c r="H7" i="7"/>
  <c r="B7" i="1" s="1"/>
  <c r="F6" i="7"/>
  <c r="H6" i="7"/>
  <c r="F5" i="7"/>
  <c r="H5" i="7"/>
  <c r="H4" i="7"/>
  <c r="F4" i="7"/>
  <c r="C23" i="8"/>
  <c r="D23" i="8"/>
  <c r="B12" i="8"/>
  <c r="G11" i="6"/>
  <c r="C12" i="8" s="1"/>
  <c r="D11" i="6"/>
  <c r="D12" i="8" s="1"/>
  <c r="F11" i="6"/>
  <c r="E11" i="6"/>
  <c r="C22" i="8"/>
  <c r="D22" i="8"/>
  <c r="B11" i="8"/>
  <c r="G10" i="6"/>
  <c r="C11" i="8" s="1"/>
  <c r="E10" i="6"/>
  <c r="F10" i="6"/>
  <c r="D10" i="6"/>
  <c r="D11" i="8" s="1"/>
  <c r="D21" i="8"/>
  <c r="C21" i="8"/>
  <c r="B10" i="8"/>
  <c r="G9" i="6"/>
  <c r="C10" i="8" s="1"/>
  <c r="F9" i="6"/>
  <c r="E9" i="6"/>
  <c r="D9" i="6"/>
  <c r="D10" i="8" s="1"/>
  <c r="C20" i="8"/>
  <c r="D20" i="8"/>
  <c r="G8" i="6"/>
  <c r="B9" i="8"/>
  <c r="F8" i="6"/>
  <c r="E8" i="6"/>
  <c r="D8" i="6"/>
  <c r="D9" i="8" s="1"/>
  <c r="C19" i="8"/>
  <c r="D19" i="8"/>
  <c r="B8" i="8"/>
  <c r="G7" i="6"/>
  <c r="C8" i="8" s="1"/>
  <c r="D7" i="6"/>
  <c r="D8" i="8" s="1"/>
  <c r="E7" i="6"/>
  <c r="F7" i="6"/>
  <c r="C18" i="8"/>
  <c r="D18" i="8"/>
  <c r="B7" i="8"/>
  <c r="G6" i="6"/>
  <c r="C7" i="8" s="1"/>
  <c r="F6" i="6"/>
  <c r="E6" i="6"/>
  <c r="D6" i="6"/>
  <c r="D7" i="8" s="1"/>
  <c r="C17" i="8"/>
  <c r="D17" i="8"/>
  <c r="B6" i="8"/>
  <c r="G5" i="6"/>
  <c r="F5" i="6"/>
  <c r="E5" i="6"/>
  <c r="D5" i="6"/>
  <c r="D6" i="8" s="1"/>
  <c r="C16" i="8"/>
  <c r="D16" i="8"/>
  <c r="B5" i="8"/>
  <c r="G4" i="6"/>
  <c r="C5" i="8" s="1"/>
  <c r="F4" i="6"/>
  <c r="E4" i="6"/>
  <c r="D4" i="6"/>
  <c r="B55" i="8"/>
  <c r="G23" i="5"/>
  <c r="D55" i="8" s="1"/>
  <c r="C55" i="8"/>
  <c r="E23" i="5"/>
  <c r="B54" i="8"/>
  <c r="G22" i="5"/>
  <c r="D54" i="8" s="1"/>
  <c r="E54" i="8" s="1"/>
  <c r="C54" i="8"/>
  <c r="E22" i="5"/>
  <c r="G21" i="5"/>
  <c r="D53" i="8" s="1"/>
  <c r="B53" i="8"/>
  <c r="E21" i="5"/>
  <c r="C53" i="8"/>
  <c r="B52" i="8"/>
  <c r="G20" i="5"/>
  <c r="D52" i="8" s="1"/>
  <c r="E52" i="8" s="1"/>
  <c r="E20" i="5"/>
  <c r="C52" i="8"/>
  <c r="G19" i="5"/>
  <c r="B51" i="8"/>
  <c r="C51" i="8"/>
  <c r="E19" i="5"/>
  <c r="B50" i="8"/>
  <c r="G18" i="5"/>
  <c r="C50" i="8"/>
  <c r="E18" i="5"/>
  <c r="G17" i="5"/>
  <c r="B49" i="8"/>
  <c r="E17" i="5"/>
  <c r="C49" i="8"/>
  <c r="B48" i="8"/>
  <c r="G16" i="5"/>
  <c r="E16" i="5"/>
  <c r="C48" i="8"/>
  <c r="G15" i="5"/>
  <c r="D47" i="8" s="1"/>
  <c r="E47" i="8" s="1"/>
  <c r="B47" i="8"/>
  <c r="E15" i="5"/>
  <c r="C47" i="8"/>
  <c r="B46" i="8"/>
  <c r="G14" i="5"/>
  <c r="C46" i="8"/>
  <c r="E14" i="5"/>
  <c r="G13" i="5"/>
  <c r="B45" i="8"/>
  <c r="E13" i="5"/>
  <c r="C45" i="8"/>
  <c r="G12" i="5"/>
  <c r="B44" i="8"/>
  <c r="E12" i="5"/>
  <c r="C44" i="8"/>
  <c r="G11" i="5"/>
  <c r="B43" i="8"/>
  <c r="C43" i="8"/>
  <c r="E11" i="5"/>
  <c r="B42" i="8"/>
  <c r="G10" i="5"/>
  <c r="C42" i="8"/>
  <c r="E10" i="5"/>
  <c r="B41" i="8"/>
  <c r="G9" i="5"/>
  <c r="D41" i="8" s="1"/>
  <c r="E41" i="8" s="1"/>
  <c r="C41" i="8"/>
  <c r="E9" i="5"/>
  <c r="G8" i="5"/>
  <c r="D40" i="8" s="1"/>
  <c r="E40" i="8" s="1"/>
  <c r="B40" i="8"/>
  <c r="C40" i="8"/>
  <c r="E8" i="5"/>
  <c r="B39" i="8"/>
  <c r="G7" i="5"/>
  <c r="E7" i="5"/>
  <c r="C39" i="8"/>
  <c r="B38" i="8"/>
  <c r="G6" i="5"/>
  <c r="D38" i="8" s="1"/>
  <c r="E38" i="8" s="1"/>
  <c r="C38" i="8"/>
  <c r="E6" i="5"/>
  <c r="C37" i="8"/>
  <c r="E5" i="5"/>
  <c r="G5" i="5"/>
  <c r="D24" i="5"/>
  <c r="B36" i="8"/>
  <c r="G4" i="5"/>
  <c r="C36" i="8"/>
  <c r="E4" i="5"/>
  <c r="B24" i="5"/>
  <c r="J6" i="7" l="1"/>
  <c r="L6" i="7"/>
  <c r="D8" i="1" s="1"/>
  <c r="B8" i="1"/>
  <c r="J5" i="7"/>
  <c r="L5" i="7"/>
  <c r="J4" i="7"/>
  <c r="L4" i="7"/>
  <c r="H8" i="7"/>
  <c r="C9" i="8"/>
  <c r="D13" i="1"/>
  <c r="C6" i="8"/>
  <c r="D12" i="1"/>
  <c r="D5" i="8"/>
  <c r="B10" i="1"/>
  <c r="B45" i="1"/>
  <c r="B44" i="1"/>
  <c r="B43" i="1"/>
  <c r="D51" i="8"/>
  <c r="E51" i="8" s="1"/>
  <c r="D36" i="1"/>
  <c r="D50" i="8"/>
  <c r="E50" i="8" s="1"/>
  <c r="D49" i="8"/>
  <c r="E49" i="8" s="1"/>
  <c r="D29" i="1"/>
  <c r="D35" i="1"/>
  <c r="D48" i="8"/>
  <c r="E48" i="8" s="1"/>
  <c r="D31" i="1"/>
  <c r="D46" i="8"/>
  <c r="E46" i="8" s="1"/>
  <c r="B42" i="1"/>
  <c r="D45" i="8"/>
  <c r="E45" i="8" s="1"/>
  <c r="D44" i="8"/>
  <c r="E44" i="8" s="1"/>
  <c r="D34" i="1"/>
  <c r="D43" i="8"/>
  <c r="E43" i="8" s="1"/>
  <c r="D30" i="1"/>
  <c r="D42" i="8"/>
  <c r="E42" i="8" s="1"/>
  <c r="D33" i="1"/>
  <c r="D39" i="8"/>
  <c r="E39" i="8" s="1"/>
  <c r="B41" i="1"/>
  <c r="D37" i="8"/>
  <c r="E37" i="8" s="1"/>
  <c r="D28" i="1"/>
  <c r="D36" i="8"/>
  <c r="E36" i="8" s="1"/>
  <c r="D32" i="1"/>
  <c r="E24" i="5"/>
  <c r="E55" i="8"/>
  <c r="E53" i="8"/>
  <c r="G24" i="5"/>
  <c r="L8" i="7" l="1"/>
  <c r="D6" i="1" s="1"/>
  <c r="B6" i="1"/>
  <c r="F15" i="5"/>
  <c r="F5" i="5"/>
  <c r="F6" i="5"/>
  <c r="F7" i="5"/>
  <c r="F8" i="5"/>
  <c r="F9" i="5"/>
  <c r="F16" i="5"/>
  <c r="F18" i="5"/>
  <c r="F19" i="5"/>
  <c r="F21" i="5"/>
  <c r="F22" i="5"/>
  <c r="B11" i="1"/>
  <c r="F10" i="5"/>
  <c r="F11" i="5"/>
  <c r="F12" i="5"/>
  <c r="F13" i="5"/>
  <c r="F14" i="5"/>
  <c r="F17" i="5"/>
  <c r="F23" i="5"/>
  <c r="F20" i="5"/>
  <c r="F4" i="5"/>
</calcChain>
</file>

<file path=xl/sharedStrings.xml><?xml version="1.0" encoding="utf-8"?>
<sst xmlns="http://schemas.openxmlformats.org/spreadsheetml/2006/main" count="16314" uniqueCount="1839">
  <si>
    <t>NBIN 2026 Client Experience — Executive Summary</t>
  </si>
  <si>
    <t>194 clients · 1,361 categorized comments · fielded by Cube Research · figures in white cells are live formulas linked to the analysis sheets</t>
  </si>
  <si>
    <t>A.  SCORECARD — the numbers that matter</t>
  </si>
  <si>
    <t>Metric</t>
  </si>
  <si>
    <t>2026</t>
  </si>
  <si>
    <t>Benchmark</t>
  </si>
  <si>
    <t>Δ</t>
  </si>
  <si>
    <t>Verdict</t>
  </si>
  <si>
    <t>NPS — tier-weighted (headline)</t>
  </si>
  <si>
    <t>Halved in one year. The single most important number in this study.</t>
  </si>
  <si>
    <t>NPS — unweighted (n=193)</t>
  </si>
  <si>
    <t>Positive, but the cushion is thin: promoters 36% vs detractors 24%.</t>
  </si>
  <si>
    <t>NPS — ELITE tier (carries 60% of weight)</t>
  </si>
  <si>
    <t>Best tier and the reason the headline is not worse — still down 9 pts.</t>
  </si>
  <si>
    <t>Overall satisfaction (mean / 10)</t>
  </si>
  <si>
    <t>One client in three rates the overall experience 1–6.</t>
  </si>
  <si>
    <t>Share rating overall experience 1–6</t>
  </si>
  <si>
    <t>The pool feeding detraction; each probe explains why.</t>
  </si>
  <si>
    <t>Comment sentiment — % negative</t>
  </si>
  <si>
    <t>Criticism (52%) outweighs praise (42%) across 1,361 comments.</t>
  </si>
  <si>
    <t>Best service area — Trading (mean)</t>
  </si>
  <si>
    <t>Proof NBIN can deliver excellence; +1.8 above overall.</t>
  </si>
  <si>
    <t>Worst service area — Transfers (mean)</t>
  </si>
  <si>
    <t>39% of transfer users dissatisfied; estates close behind (6.57 / 38%).</t>
  </si>
  <si>
    <t>Tech vs other custodians — % “better”</t>
  </si>
  <si>
    <t>Only 20% say worse — the tech gap is vs expectations, not competitors.</t>
  </si>
  <si>
    <t>Severe detractors (overall rating ≤ 3)</t>
  </si>
  <si>
    <t>Candidates for executive outreach where sharing consent (QK3) was given.</t>
  </si>
  <si>
    <t>B.  BOLD POINTS — seven findings that carry the story</t>
  </si>
  <si>
    <t>1. NPS halved year-over-year (+30 → +14) and every tier fell (SC −37, LC+MC −25, ELITE −9). The driver is service delivery, not product: satisfaction with what NBIN offers holds up; satisfaction with how fast it responds does not.</t>
  </si>
  <si>
    <t>2. Responsiveness is the #1 pain point (165 negative comments, net −122) and clients explicitly tie it to the 2025→2026 move to specialist / decentralized teams: lost point-people, unclear routing, unanswered follow-ups, missed SLAs.</t>
  </si>
  <si>
    <t>3. Technology is contested, not broken. It is the most-discussed theme (232 comments) with real praise (85 positive: NetRep, onboarding, self-serve) but heavier criticism (131 negative: multiple portals and logins, old-vs-new system split, no real-time postings, timeouts). Yet 38% of clients who use other custodians call NBIN better and only 20% worse.</t>
  </si>
  <si>
    <t>4. Transfers (6.50) and estates (6.57) are the worst-scored operations — roughly 4 in 10 users dissatisfied — citing 11–12-day outbound cycles, rework, rejections and settlement delays. These are the operational bleeding points behind the overall score.</t>
  </si>
  <si>
    <t>5. People are the moat. Relationships &amp; professionalism net +59, leadership/brand +41, trading +18. RVPs and escalation contacts are repeatedly named as what keeps frustrated clients on side.</t>
  </si>
  <si>
    <t>6. The loyalty cushion is real but finite. Willingness to recommend (7.48) runs above satisfaction (6.73), and clients say they want NBIN to succeed — but severe verbatims (“worst we’ve seen in twenty years”, “no strengths right now”) show patience is being spent.</t>
  </si>
  <si>
    <t>7. Pockets of risk: West region NPS −10 (n=20, directional) vs Pacific +30 and Ontario +14; introducing brokers (+4.7) trail portfolio managers (+13.4).</t>
  </si>
  <si>
    <t>C.  WHERE TO IMPROVE — ranked by impact (volume of complaints × score gap × ELITE exposure)</t>
  </si>
  <si>
    <t>Priority</t>
  </si>
  <si>
    <t>Area</t>
  </si>
  <si>
    <t>Neg. comments</t>
  </si>
  <si>
    <t>Net sentiment</t>
  </si>
  <si>
    <t>Evidence</t>
  </si>
  <si>
    <t>Recommended action</t>
  </si>
  <si>
    <t>P1</t>
  </si>
  <si>
    <t>Responsiveness &amp; follow-up discipline</t>
  </si>
  <si>
    <t>Top theme by negatives; named root cause of the NPS drop; ELITE affected equally.</t>
  </si>
  <si>
    <t>Set and publish response SLAs; visible request tracking/ticket status; restore named escalation paths. Biggest single NPS lever.</t>
  </si>
  <si>
    <t>Service model &amp; routing repair</t>
  </si>
  <si>
    <t>Low standalone volume but cited as the cause behind P1 responsiveness; “who do I contact?” confusion; centralized inbox removed.</t>
  </si>
  <si>
    <t>Reintroduce a named point person for top tiers; publish a routing map; measure the transition in the next wave.</t>
  </si>
  <si>
    <t>Transfers</t>
  </si>
  <si>
    <t>Mean 6.50; 39% of users dissatisfied; 11–12-day outbound cycles blamed on internal policy.</t>
  </si>
  <si>
    <t>Attack outbound cycle time; proactive status updates; root-cause rejects with relinquishing institutions.</t>
  </si>
  <si>
    <t>Estates &amp; settlements</t>
  </si>
  <si>
    <t>Mean 6.57; 38% dissatisfied; settlement timelines and unclear documentation guidance.</t>
  </si>
  <si>
    <t>Timeline commitments per estate stage; single checklist of requirements up front.</t>
  </si>
  <si>
    <t>P2</t>
  </si>
  <si>
    <t>Platform consolidation &amp; real-time data</t>
  </si>
  <si>
    <t>Most-mentioned theme; old-vs-new portal split, many logins, next-day postings, timeouts.</t>
  </si>
  <si>
    <t>Single sign-on; retire the legacy/new duplication; real-time transaction visibility; communicate the roadmap.</t>
  </si>
  <si>
    <t>First-time-right accuracy &amp; consistency</t>
  </si>
  <si>
    <t>Inconsistent answers between teams; incorrect instructions causing rework (maps to QA3 “correct answer first time”).</t>
  </si>
  <si>
    <t>Shared knowledge base; QA on outbound guidance; consistency training for specialist teams.</t>
  </si>
  <si>
    <t>Reporting, statements &amp; tax documents</t>
  </si>
  <si>
    <t>Tax-slip errors at source; missing beneficiary/pending-trade visibility; data access requests.</t>
  </si>
  <si>
    <t>Tax-slip QA before mailing; enrich statements; open data feeds for PMs.</t>
  </si>
  <si>
    <t>P3</t>
  </si>
  <si>
    <t>Pricing transparency &amp; perceived value</t>
  </si>
  <si>
    <t>Fees rising while service dipped — a value-perception squeeze, not (yet) a churn driver.</t>
  </si>
  <si>
    <t>Communicate value received; review fee-for-service alignment; add a value-for-money question next wave.</t>
  </si>
  <si>
    <t>Onboarding, account admin &amp; proactive comms</t>
  </si>
  <si>
    <t>Steady friction (forms, FHSA gaps, new-user setup; little proactive notice) but secondary to P1 items.</t>
  </si>
  <si>
    <t>Fold into the service-model workstream rather than run standalone programs.</t>
  </si>
  <si>
    <t>D.  LOWER IMPORTANCE — maintain, protect, or fold in; do not over-invest</t>
  </si>
  <si>
    <t>Signal</t>
  </si>
  <si>
    <t>Why it can wait / what to do instead</t>
  </si>
  <si>
    <t>Trading &amp; market access</t>
  </si>
  <si>
    <t>Best score in the book (net +18 in comments). Maintain; use as the internal benchmark for what “good” looks like.</t>
  </si>
  <si>
    <t>People, relationships &amp; professionalism</t>
  </si>
  <si>
    <t>Net +59 — the franchise asset. Protect through retention; do not reorganize away the strength while fixing the model.</t>
  </si>
  <si>
    <t>Leadership, brand &amp; scale</t>
  </si>
  <si>
    <t>Net +41 (National Bank brand, RVP access, events). Keep visible; costs little.</t>
  </si>
  <si>
    <t>Product breadth &amp; offering</t>
  </si>
  <si>
    <t>Net positive; requests (USD access, bond inventory, capital introduction) are enhancements, not fixes.</t>
  </si>
  <si>
    <t>Training &amp; education</t>
  </si>
  <si>
    <t>Only 17 mentions. Bundle refresher content into the platform-consolidation comms.</t>
  </si>
  <si>
    <t>Staffing &amp; ease-of-contact (as standalone themes)</t>
  </si>
  <si>
    <t>19 mentions combined — real, but both resolve inside the P1 service-model and routing workstreams.</t>
  </si>
  <si>
    <t>Competitive tech parity</t>
  </si>
  <si>
    <t>Only 1 in 5 comparers says NBIN tech is worse than rivals. The urgent gap is vs client expectations, not vs competitors.</t>
  </si>
  <si>
    <t>E.  RISK FLAGS — watch closely</t>
  </si>
  <si>
    <t>ELITE exposure on operations</t>
  </si>
  <si>
    <t>ELITE clients (60% of weighted NPS) rate transfers/estates no better than small clients — the premium tier is not insulated from the operational delays.</t>
  </si>
  <si>
    <t>West region NPS</t>
  </si>
  <si>
    <t>Negative NPS (n=20 — directional); worth a targeted regional review.</t>
  </si>
  <si>
    <t>Introducing-broker segment NPS</t>
  </si>
  <si>
    <t>IBs trail PMs by ~9 pts; verbatims cite dated technology and transfer timelines.</t>
  </si>
  <si>
    <t>Severe detractors</t>
  </si>
  <si>
    <t>Clients rating overall experience ≤3 use existential language. Recommend executive outreach where QK3 consent was given.</t>
  </si>
  <si>
    <t>Captive-client sentiment</t>
  </si>
  <si>
    <t>“Once they have you, they have you” — several clients frame staying as lack of alternatives, not preference. Loyalty measured today may overstate loyalty available tomorrow.</t>
  </si>
  <si>
    <t>F.  FOR THE NEXT SURVEY WAVE — close the measurement gaps</t>
  </si>
  <si>
    <t>Add: (1) a value-for-money rating (fees drew 21 negative comments with no question behind them); (2) a direct question on the new service model / specialist-team transition; (3) a staffing-confidence item; (4) competitive benchmarking of responsiveness, not only technology (QC4); (5) report the QA3 “ease of contacting NBIN” attribute alongside the service sections in the data extract.</t>
  </si>
  <si>
    <t>Bottom line: NBIN’s people and product are keeping clients who its processes are frustrating. Restore response discipline and repair the service model first; transfers and estates are where that failure is most visible; technology consolidation is the durable second act. Trading, brand and relationships need protection, not repair.</t>
  </si>
  <si>
    <t>NBIN 2026 Client Experience Survey — Verbatim Categorization &amp; Gap Analysis</t>
  </si>
  <si>
    <t>Purpose</t>
  </si>
  <si>
    <t>Categorizes every open-ended (verbatim) response from the 2026 survey into themes with sentiment, and quantifies satisfaction, NPS and gaps by service area, tier, firm type and region.</t>
  </si>
  <si>
    <t>Sources</t>
  </si>
  <si>
    <t>NBIN_Client_Experience_Survey_2026_Verbatim_No_PII.xlsx (sheet "2026", n=194 respondents; sheet "Sheet1 (2)" for 2025 NPS benchmark) + NBIN_Client_Satisfaction_Survey_2026_JUNE_10_ENG.docx (questionnaire).</t>
  </si>
  <si>
    <t>Base</t>
  </si>
  <si>
    <t>194 respondents: 150 PM / 43 IB / 1 IFM · Tiers: 88 ELITE, 47 MC, 22 LC, 37 SC · 180 English, 14 French · Regions: Ont 100, East 54, West 20, Pacific 20.</t>
  </si>
  <si>
    <t>Comments</t>
  </si>
  <si>
    <t>1,361 individual comments extracted. "Top-3 strengths/improvements" cells were split into separate items; every item was tagged with one primary theme (most specific match) and all applicable themes.</t>
  </si>
  <si>
    <t>Sentiment rule</t>
  </si>
  <si>
    <t>Strengths (QJ1) = Positive. Improvements (QJ2) = Negative. Low-score probes (QB2/QC2/QD2/QE2/QF2/QG1, asked only when rating 1–6) = Negative. Tech-vs-custodians (QC4) follows the Better/Worse answer. Recommend probe (QH2) follows NPS bucket: 9–10 Positive, 7–8 Mixed, 1–6 Negative.</t>
  </si>
  <si>
    <t>Method</t>
  </si>
  <si>
    <t>Bilingual (EN/FR) keyword classification, reviewed on samples. Precision is high for named topics (transfers, fees, platforms); "Other / general" holds comments with no specific topic (e.g., "They can be better").</t>
  </si>
  <si>
    <t>NPS convention</t>
  </si>
  <si>
    <t>Matches the source workbook: 1–10 scale, Promoters 9–10, Passives 7–8, Detractors 1–6. Tier-weighted NPS uses the source workbook factors SC 0.1, LC+MC 0.3, ELITE 0.6 (labelled "not official" there).</t>
  </si>
  <si>
    <t>Caveats</t>
  </si>
  <si>
    <t>Small cells (SC n=37; some section × tier cells &lt;10) — treat sub-group gaps as directional. Keyword tagging can miss idiosyncratic phrasing; the Categorized Verbatims sheet is filterable for manual review. 2025 benchmark figures are transcribed from the source workbook (weighted counts, n=242).</t>
  </si>
  <si>
    <t>Sheets</t>
  </si>
  <si>
    <t>Summary (executive view) · Categorized Verbatims · Score Data (formula inputs) · Theme Stats · Section Scores · NPS Analysis · Gap Analysis · Charts.</t>
  </si>
  <si>
    <t>ID</t>
  </si>
  <si>
    <t>Firm</t>
  </si>
  <si>
    <t>Title</t>
  </si>
  <si>
    <t>Region</t>
  </si>
  <si>
    <t>Tier</t>
  </si>
  <si>
    <t>TierGroup</t>
  </si>
  <si>
    <t>Lang</t>
  </si>
  <si>
    <t>Source</t>
  </si>
  <si>
    <t>RelatedScore</t>
  </si>
  <si>
    <t>Sentiment</t>
  </si>
  <si>
    <t>PrimaryTheme</t>
  </si>
  <si>
    <t>AllThemes</t>
  </si>
  <si>
    <t>Comment</t>
  </si>
  <si>
    <t>PM</t>
  </si>
  <si>
    <t>Senior Admin</t>
  </si>
  <si>
    <t>West</t>
  </si>
  <si>
    <t>MC</t>
  </si>
  <si>
    <t>LC+MC</t>
  </si>
  <si>
    <t>English</t>
  </si>
  <si>
    <t>Technology (QC2_O)</t>
  </si>
  <si>
    <t>Negative</t>
  </si>
  <si>
    <t>Technology &amp; platform integration</t>
  </si>
  <si>
    <t>I keep logging into a new portal to the new system but then I have to use the old system to make anything work.</t>
  </si>
  <si>
    <t>Recommend/NPS (QH2_O)</t>
  </si>
  <si>
    <t>Positive</t>
  </si>
  <si>
    <t>Technology &amp; platform integration; Leadership, brand &amp; scale</t>
  </si>
  <si>
    <t>They've got a good platform and strong management.</t>
  </si>
  <si>
    <t>Top-3 strengths (QJ1_O)</t>
  </si>
  <si>
    <t>People, relationships &amp; professionalism; Leadership, brand &amp; scale</t>
  </si>
  <si>
    <t>Management team.</t>
  </si>
  <si>
    <t>They're excellent and strong.  They're accessible which is important.</t>
  </si>
  <si>
    <t>I'm happy with the National Bank brand and it's growth in western Canada.</t>
  </si>
  <si>
    <t>NBIN host good events.</t>
  </si>
  <si>
    <t>Top-3 improvements (QJ2_O)</t>
  </si>
  <si>
    <t>Streamline technology.</t>
  </si>
  <si>
    <t>There's multiple platforms.  There's a new version and an old version.</t>
  </si>
  <si>
    <t>Ont</t>
  </si>
  <si>
    <t>ELITE</t>
  </si>
  <si>
    <t>Technology &amp; platform integration; Responsiveness &amp; turnaround; Client service &amp; support (general)</t>
  </si>
  <si>
    <t>The servicing system is slow. Getting on to the servicing system; more times than not we get error messages. When going from one transaction to another the fields you need to use are different; they are from another transaction. You have to sign off and back on and that is my main distress.</t>
  </si>
  <si>
    <t>Tech vs other custodians (QC4_O)</t>
  </si>
  <si>
    <t>Technology &amp; platform integration; Responsiveness &amp; turnaround</t>
  </si>
  <si>
    <t>I'm able to log in quickly and process transactions efficiently.</t>
  </si>
  <si>
    <t>Transfers (QE2_O)</t>
  </si>
  <si>
    <t>Transfers; Responsiveness &amp; turnaround; Knowledge, accuracy &amp; consistency</t>
  </si>
  <si>
    <t>The response time is slow.  Sometimes we dont get a response and it results in continuous follow up. I recall one time where I was caught between the relinquishing institution and NBIN and getting two different stories as to what delay was about.</t>
  </si>
  <si>
    <t>They are professional</t>
  </si>
  <si>
    <t>When you escalate someone gets back to you.</t>
  </si>
  <si>
    <t>Transfers; Client service &amp; support (general)</t>
  </si>
  <si>
    <t>A better transfer department</t>
  </si>
  <si>
    <t>Technology &amp; platform integration; People, relationships &amp; professionalism; Client service &amp; support (general)</t>
  </si>
  <si>
    <t>A better servicing system. Sometimes emails are ai related or ai generated. It is not very personal.</t>
  </si>
  <si>
    <t>IB</t>
  </si>
  <si>
    <t>East</t>
  </si>
  <si>
    <t>Estates (QD2_O)</t>
  </si>
  <si>
    <t>Estates &amp; settlements; Knowledge, accuracy &amp; consistency</t>
  </si>
  <si>
    <t>The length of time to process an estate. Clarification of delivery of proceeds.</t>
  </si>
  <si>
    <t>Account admin (QF2_O)</t>
  </si>
  <si>
    <t>Knowledge, accuracy &amp; consistency</t>
  </si>
  <si>
    <t>Completeness and accuracy of their work.</t>
  </si>
  <si>
    <t>Client reporting (QG1_O)</t>
  </si>
  <si>
    <t>Reporting, statements &amp; data</t>
  </si>
  <si>
    <t>Reporting, statements &amp; data; Trading &amp; market access; Technology &amp; platform integration; Responsiveness &amp; turnaround; Training &amp; education</t>
  </si>
  <si>
    <t>Regarding statements, some additional information such as beneficiaries would be beneficial to see on the statement as well as any pending trades that have not yet happened.  Regarding Portfolio Plus - to obtain a user password and link account takes a lot of time and is a very manual process.</t>
  </si>
  <si>
    <t>Service model &amp; restructuring</t>
  </si>
  <si>
    <t>Service model &amp; restructuring; People, relationships &amp; professionalism; Client service &amp; support (general)</t>
  </si>
  <si>
    <t>The team is working hard to make improvements in their service model.</t>
  </si>
  <si>
    <t>Client service &amp; support (general)</t>
  </si>
  <si>
    <t>Their commitment to customer service.</t>
  </si>
  <si>
    <t>Their commitment to improving technology.</t>
  </si>
  <si>
    <t>Staffing &amp; resources</t>
  </si>
  <si>
    <t>Staffing &amp; resources; People, relationships &amp; professionalism</t>
  </si>
  <si>
    <t>staff retention</t>
  </si>
  <si>
    <t>Responsiveness &amp; turnaround</t>
  </si>
  <si>
    <t>more timely response</t>
  </si>
  <si>
    <t>better improved data availability</t>
  </si>
  <si>
    <t>Principal/Executive</t>
  </si>
  <si>
    <t>French</t>
  </si>
  <si>
    <t>Responsiveness &amp; turnaround; People, relationships &amp; professionalism; Client service &amp; support (general)</t>
  </si>
  <si>
    <t>Rapiditer de service, relation d'affaires avec les employers,  experience cliente tres favorable.</t>
  </si>
  <si>
    <t>Orienter client.</t>
  </si>
  <si>
    <t>Capaciter a trouver les solutions.</t>
  </si>
  <si>
    <t>Encadrement prise en charge.</t>
  </si>
  <si>
    <t>SC</t>
  </si>
  <si>
    <t>Because the systems are not integrated. They are legacy systems that are not integrated, result of all the acquisitions.  You need many different passwords for the platform, its not a seem less experience.</t>
  </si>
  <si>
    <t>Reporting, statements &amp; data; Technology &amp; platform integration</t>
  </si>
  <si>
    <t>There were system errors for the client tax slips that costed me allot of time because I had to get in between. I had to  interface with the client and had to overlook them being fixed.</t>
  </si>
  <si>
    <t>Other / general</t>
  </si>
  <si>
    <t>I had to pick a number.</t>
  </si>
  <si>
    <t>Allot of human resources.</t>
  </si>
  <si>
    <t>Expertise on administrative matters.</t>
  </si>
  <si>
    <t>I think my area rep is very good, Todd. I have a good relationship with him. He compensates me about things I'm not happy about.</t>
  </si>
  <si>
    <t>Technology.</t>
  </si>
  <si>
    <t>Modernization of its interfaces.</t>
  </si>
  <si>
    <t>Responsiveness &amp; turnaround; People, relationships &amp; professionalism</t>
  </si>
  <si>
    <t>Response time from their professionals.</t>
  </si>
  <si>
    <t>Pacific</t>
  </si>
  <si>
    <t>Lack of response. We had to repeat ourselves a number of times to get something done</t>
  </si>
  <si>
    <t>Lack of response. We had to repeat ourselves</t>
  </si>
  <si>
    <t>Mixed</t>
  </si>
  <si>
    <t>Trading &amp; market access; Competitive position &amp; alternatives; Product breadth &amp; offering</t>
  </si>
  <si>
    <t>There are very few carrying brokers or custodians these days. Once they have you, they have you. You are  kind a stuck and there are very limited options</t>
  </si>
  <si>
    <t>size</t>
  </si>
  <si>
    <t>market access</t>
  </si>
  <si>
    <t>trading</t>
  </si>
  <si>
    <t>faster response time</t>
  </si>
  <si>
    <t>Technology. We have had some issues with their key systems.</t>
  </si>
  <si>
    <t>Ca tien compte de l'experience de toutes a passer. Commment no processus fonctionne, la rapiditer,  est l'experience quotidienne.</t>
  </si>
  <si>
    <t>Je dirai longvergure, sont grosse, la volume.</t>
  </si>
  <si>
    <t>Experitise.</t>
  </si>
  <si>
    <t>Dirai les delai traitements. Le delai des reponse, des fois sa prend tres long.</t>
  </si>
  <si>
    <t>La flexibiliter.</t>
  </si>
  <si>
    <t>Technology &amp; platform integration; Knowledge, accuracy &amp; consistency; Communication &amp; proactivity; Competitive position &amp; alternatives; Product breadth &amp; offering</t>
  </si>
  <si>
    <t>They are further along on being able access things and process transactions than other custodians. There is some inconsistency on the platforms not being available, under maintenence and providing updates is frustrating. When thing are working work well they are good.</t>
  </si>
  <si>
    <t>Technology &amp; platform integration; Responsiveness &amp; turnaround; Knowledge, accuracy &amp; consistency; Training &amp; education; Communication &amp; proactivity; People, relationships &amp; professionalism</t>
  </si>
  <si>
    <t>A good part of the system is that you can access a lot of information for different accounts. It is user friendly. The updates are not done on a timely manner. When reaching out to staff members, the answers are not always correct or inconsistent.</t>
  </si>
  <si>
    <t>Service model &amp; restructuring; Product breadth &amp; offering</t>
  </si>
  <si>
    <t>Overall NBIN is a good custodian. There are some struggles with the new restructuring, hopefully it improves over time. Not a lot of complaints. It is a good business with some pain points as they work through the restructuring.</t>
  </si>
  <si>
    <t>Technology &amp; platform integration; Training &amp; education</t>
  </si>
  <si>
    <t>Technology, online training solutions</t>
  </si>
  <si>
    <t>client services when escalating to team leads</t>
  </si>
  <si>
    <t>Create more knowledge within the teams to provide consistent messaging to client.</t>
  </si>
  <si>
    <t>Taking more accountability when things go wrong and provide answers.</t>
  </si>
  <si>
    <t>provide more support to clients</t>
  </si>
  <si>
    <t>I have a positive experience with NBIN.</t>
  </si>
  <si>
    <t>People.</t>
  </si>
  <si>
    <t>Capital introduction.</t>
  </si>
  <si>
    <t>Technology &amp; platform integration; Client service &amp; support (general)</t>
  </si>
  <si>
    <t>Assistance with sales integration through the retail channel.</t>
  </si>
  <si>
    <t>Responsiveness &amp; turnaround; Knowledge, accuracy &amp; consistency</t>
  </si>
  <si>
    <t>Inconsistent guidance and requirements.  Too much back and forth on seeking questions and answers.</t>
  </si>
  <si>
    <t>Product breadth &amp; offering; Client service &amp; support (general)</t>
  </si>
  <si>
    <t>Limited custodian offering in Canada.   Better than average service.  Ease of use.</t>
  </si>
  <si>
    <t>High quality executive team.</t>
  </si>
  <si>
    <t>Good self serve platform.</t>
  </si>
  <si>
    <t>Willingness for collaboration</t>
  </si>
  <si>
    <t>Full achievement of specialized service teams.</t>
  </si>
  <si>
    <t>Reporting, statements &amp; data; Trading &amp; market access</t>
  </si>
  <si>
    <t>A la carte reporting options.</t>
  </si>
  <si>
    <t>Onboarding &amp; account administration</t>
  </si>
  <si>
    <t>Onboarding &amp; account administration; Technology &amp; platform integration</t>
  </si>
  <si>
    <t>Integrated onboarding for firm specific needs.</t>
  </si>
  <si>
    <t>Because it is tailored to the needs of an ICPM.</t>
  </si>
  <si>
    <t>It would depend on needs of the relationship.</t>
  </si>
  <si>
    <t>responsiveness</t>
  </si>
  <si>
    <t>Communication &amp; proactivity</t>
  </si>
  <si>
    <t>proactiveness</t>
  </si>
  <si>
    <t>relationships</t>
  </si>
  <si>
    <t>reporting</t>
  </si>
  <si>
    <t>Additional access to data.</t>
  </si>
  <si>
    <t>technology</t>
  </si>
  <si>
    <t>LC</t>
  </si>
  <si>
    <t>They just simply have a simpler easy, better to use interface that requires less manual follow up.</t>
  </si>
  <si>
    <t>Staffing &amp; resources; Responsiveness &amp; turnaround; People, relationships &amp; professionalism</t>
  </si>
  <si>
    <t>Massive delays. People don't seem to be able to respond on a timely basis. Follow ups are put in the back of the list and the SLA is not being met and they don't seem to have the resources to handle these types of situations.</t>
  </si>
  <si>
    <t>Mistakes on incoming transfers and long processing times.</t>
  </si>
  <si>
    <t>Service model &amp; restructuring; Responsiveness &amp; turnaround; Client service &amp; support (general)</t>
  </si>
  <si>
    <t>Long delays in responding , the new service model isn't working, requests take  a long time to resolve.</t>
  </si>
  <si>
    <t>The service quality has deteriated in the last year and it would make it very hard for them to execute on this business, therefore it would be hard for me to recommend this to anyone.</t>
  </si>
  <si>
    <t>Client does not see any strengths right now.</t>
  </si>
  <si>
    <t>Every area of NBIN that we are in touch with seems to be having difficulties and delays.</t>
  </si>
  <si>
    <t>This is the worst we've ever seen it in our twenty year history.</t>
  </si>
  <si>
    <t>Responsiveness &amp; turnaround; Knowledge, accuracy &amp; consistency; People, relationships &amp; professionalism</t>
  </si>
  <si>
    <t>Initially, I'd say for the first six months, there were a lot of issues with getting correct instructions from NBIN.  The response time from their team was very lengthy.  I will say with the past few months, things have improved a little bit.</t>
  </si>
  <si>
    <t>Technology &amp; platform integration; Responsiveness &amp; turnaround; Knowledge, accuracy &amp; consistency</t>
  </si>
  <si>
    <t>The amount of issues we've had in the past, specifically with the length in replies and in getting incorrect instructions.  Overall, the systems they have in place are good.  They would be more efficient if they were able to give us more timely responses.</t>
  </si>
  <si>
    <t>Estates &amp; settlements; Client service &amp; support (general)</t>
  </si>
  <si>
    <t>Their estates department is good at what they do.</t>
  </si>
  <si>
    <t>Estates &amp; settlements; People, relationships &amp; professionalism</t>
  </si>
  <si>
    <t>I have very few issues when I reach out to the estate team and I can trust what they say is what I should be doing.</t>
  </si>
  <si>
    <t>Whenever anything is escalated, their team acts much more promptly and they do everything to get it resolved.</t>
  </si>
  <si>
    <t>Technology &amp; platform integration; People, relationships &amp; professionalism</t>
  </si>
  <si>
    <t>Their systems that they have  in place encompass are good and user-friendly systems.</t>
  </si>
  <si>
    <t>More timely responses to the emails.</t>
  </si>
  <si>
    <t>Accuracy of the instructions and guidance that they provide.</t>
  </si>
  <si>
    <t>Responsiveness &amp; turnaround; Knowledge, accuracy &amp; consistency; Communication &amp; proactivity</t>
  </si>
  <si>
    <t>High quality, good communication, responsiveness, experience and knowledge.</t>
  </si>
  <si>
    <t>knowledge</t>
  </si>
  <si>
    <t>professionalism</t>
  </si>
  <si>
    <t>cross management</t>
  </si>
  <si>
    <t>Communication &amp; proactivity; People, relationships &amp; professionalism</t>
  </si>
  <si>
    <t>proactive engagement</t>
  </si>
  <si>
    <t>Pricing &amp; fees</t>
  </si>
  <si>
    <t>Clarity of invoicing</t>
  </si>
  <si>
    <t>NetRep is easy to use. IMOS is quite clear. The onboarding is really good to use but would like to see some improvements.</t>
  </si>
  <si>
    <t>Reporting, statements &amp; data; Responsiveness &amp; turnaround</t>
  </si>
  <si>
    <t>We had some issues at tax time regarding specific T4RIF slips. It took a lot of back and forth and time we needed.</t>
  </si>
  <si>
    <t>Service model &amp; restructuring; Responsiveness &amp; turnaround</t>
  </si>
  <si>
    <t>I would recommend them but have have to give a warning about problems we have experienced with the new model. The specialist teams are taking a long time to respond and some of the answers we are getting are getting are not good. We much preferred having a point person who knew us and how we work.</t>
  </si>
  <si>
    <t>The previous team and we are very fond of them when deal  when them now - we are always satisfied.</t>
  </si>
  <si>
    <t>The onboarding - we are quite happy with that. The only exception is that FHSA are not incorporated into the model.</t>
  </si>
  <si>
    <t>response times</t>
  </si>
  <si>
    <t>quality of responses</t>
  </si>
  <si>
    <t>Compass time outs are to fast - 5 minutes or less. We should be be able extend that.</t>
  </si>
  <si>
    <t>Responsiveness &amp; turnaround; Knowledge, accuracy &amp; consistency; Training &amp; education; People, relationships &amp; professionalism; Client service &amp; support (general)</t>
  </si>
  <si>
    <t>They're very diligent in providing services. They care about their customers. They continue  to improve their services, even though they are growing very fast and have challenges giving the right answer. That's why I gave a six on that. They're always working towards improving. They're dedicated in educating their clients with various training solutions.</t>
  </si>
  <si>
    <t>Cares about the client.</t>
  </si>
  <si>
    <t>Dedicated support.</t>
  </si>
  <si>
    <t>Education and training.</t>
  </si>
  <si>
    <t>Trading &amp; market access; Technology &amp; platform integration; Client service &amp; support (general)</t>
  </si>
  <si>
    <t>Technology services specifically in trading.</t>
  </si>
  <si>
    <t>Training &amp; education; Client service &amp; support (general)</t>
  </si>
  <si>
    <t>Back office administrative training.</t>
  </si>
  <si>
    <t>Market awareness.</t>
  </si>
  <si>
    <t>Speed and responsiveness. It is a little bit slow, so, their efficiency.</t>
  </si>
  <si>
    <t>They are more reliable reputable.</t>
  </si>
  <si>
    <t>The size of their team.</t>
  </si>
  <si>
    <t>Leadership</t>
  </si>
  <si>
    <t>Dependability</t>
  </si>
  <si>
    <t>Response time.`</t>
  </si>
  <si>
    <t>Ease of contact &amp; routing</t>
  </si>
  <si>
    <t>Ease of reach. Sometimes you send something into inbox and you just done know where it lands.</t>
  </si>
  <si>
    <t>People, relationships &amp; professionalism; Client service &amp; support (general)</t>
  </si>
  <si>
    <t>I truley value the collaboration with the teams I work with. They are hard working and come through when need help with clients. Overall they are very collaborative and enjoy the partnership with them. They are really willing to help.</t>
  </si>
  <si>
    <t>Knowledge, accuracy &amp; consistency; People, relationships &amp; professionalism; Client service &amp; support (general)</t>
  </si>
  <si>
    <t>The account team is very knowledgeable and very helpful in accounts opening process.</t>
  </si>
  <si>
    <t>NBIN's implementation team - the individuals I work with go above and beyond.</t>
  </si>
  <si>
    <t>Paulo the Regional VP - Paulo I value his relationship skills. He is in tune with clients and value our partnership. The creating collaborative extends to his  entire team.</t>
  </si>
  <si>
    <t>The response time can be slow due to the transition to dedicated teams.</t>
  </si>
  <si>
    <t>There are improvements to be made in the OB platform</t>
  </si>
  <si>
    <t>The way they set up new users in the onboarding platform needs to be improved.</t>
  </si>
  <si>
    <t>Technology &amp; platform integration; Responsiveness &amp; turnaround; Training &amp; education; Communication &amp; proactivity</t>
  </si>
  <si>
    <t>The technology is dated and there are no real time updates. We have to wait a day to get information on a  transaction. An example is that if a client pays today we will not see a transaction posting until a day later. It is extremely frustrating.</t>
  </si>
  <si>
    <t>Technology &amp; platform integration; Communication &amp; proactivity</t>
  </si>
  <si>
    <t>Real time updates would make it easier to make decisions.</t>
  </si>
  <si>
    <t>Transfers; Responsiveness &amp; turnaround</t>
  </si>
  <si>
    <t>The time it takes for a transfer from one firm to another. There is no reason for it. NBIN drags its feet on outbound transfers. It can take 11-12 days and is ridiculous. It is due to NBIN's own internal policies. It needs to be done in a timely manner.</t>
  </si>
  <si>
    <t>Technology &amp; platform integration; Competitive position &amp; alternatives</t>
  </si>
  <si>
    <t>It depends on their business model. Their technology is not strong but depends on what client is looking for. I also use Fidelity but cant compare their technology to NBIN's.</t>
  </si>
  <si>
    <t>Professionalism in dealing with issues.</t>
  </si>
  <si>
    <t>communication</t>
  </si>
  <si>
    <t>Staffing &amp; resources; Responsiveness &amp; turnaround</t>
  </si>
  <si>
    <t>Their staffing in some areas. It seems to be running on vapors and we are not getting the needed turn around time.</t>
  </si>
  <si>
    <t>Transfers; Reporting, statements &amp; data; Responsiveness &amp; turnaround; Leadership, brand &amp; scale</t>
  </si>
  <si>
    <t>When transfers are submitted, National Bank is not confirming that they're set up in good order.  There's a lot of back and forth rejections rather than a first rejection including all the issues.</t>
  </si>
  <si>
    <t>90% of operations are great, 10% could be improved.</t>
  </si>
  <si>
    <t>Their online platform is pretty good.</t>
  </si>
  <si>
    <t>It's becoming more automated and less manual.</t>
  </si>
  <si>
    <t>Their online client reporting is good as well.  The ease of access.</t>
  </si>
  <si>
    <t>Transfers.</t>
  </si>
  <si>
    <t>Clarifying issues at the beginning of the process.</t>
  </si>
  <si>
    <t>Service model &amp; restructuring; Client service &amp; support (general)</t>
  </si>
  <si>
    <t>They recently restructured their emails for different departments.</t>
  </si>
  <si>
    <t>Their responsibilities need to be clarified.</t>
  </si>
  <si>
    <t>They call it the SLA times, which are a bit long.</t>
  </si>
  <si>
    <t>Transfers; Responsiveness &amp; turnaround; People, relationships &amp; professionalism</t>
  </si>
  <si>
    <t>The long timeline on transfers. The response from the transfer team on our questions.</t>
  </si>
  <si>
    <t>Of the options available, they are sufficient.</t>
  </si>
  <si>
    <t>Trading.</t>
  </si>
  <si>
    <t>Communication.</t>
  </si>
  <si>
    <t>Support to us as a business.</t>
  </si>
  <si>
    <t>Consistency in administrative procedures.</t>
  </si>
  <si>
    <t>Their technology platforms, especially from the client-facing perspective.</t>
  </si>
  <si>
    <t>Product breadth &amp; offering; Leadership, brand &amp; scale</t>
  </si>
  <si>
    <t>Their ability to offer creative solutions for business growth opportunities.</t>
  </si>
  <si>
    <t>its because there not apples to apples applications to be able to  provide a proper comparaison</t>
  </si>
  <si>
    <t>Responsiveness &amp; turnaround; Product breadth &amp; offering; People, relationships &amp; professionalism</t>
  </si>
  <si>
    <t>Because of our long relationship with NBIN and employees that we have built relationships with -it would be easier for any firms that we work with to use the same custodian that we work with</t>
  </si>
  <si>
    <t>Their employees and they willingness to assist</t>
  </si>
  <si>
    <t>Consistantly working on improving their technology</t>
  </si>
  <si>
    <t>Going back to a dedicated service rep for any assistant needed for the firm</t>
  </si>
  <si>
    <t>Acknowledgement  of emails in a timely manner</t>
  </si>
  <si>
    <t>Improving user experience on their MyRequest application</t>
  </si>
  <si>
    <t>Trading (QB2_O)</t>
  </si>
  <si>
    <t>I can't trade bonds directly.  We can't trade directly on our ETFs.</t>
  </si>
  <si>
    <t>The core issue would be the look and feel of the reports and technology of NBIN.</t>
  </si>
  <si>
    <t>Weak technology.  Some inefficiencies in their system.</t>
  </si>
  <si>
    <t>The brand.  It's a recognized chartered bank.</t>
  </si>
  <si>
    <t>Good people.</t>
  </si>
  <si>
    <t>Cost effective pricing.</t>
  </si>
  <si>
    <t>Upgrade their systems.</t>
  </si>
  <si>
    <t>Bring them into 2026.  They're all using antiquated technology.</t>
  </si>
  <si>
    <t>To add a portfolio management system.</t>
  </si>
  <si>
    <t>They can be better.</t>
  </si>
  <si>
    <t>Knowledge, accuracy &amp; consistency; People, relationships &amp; professionalism</t>
  </si>
  <si>
    <t>Knowledgeable staff.</t>
  </si>
  <si>
    <t>Higher-up admin staff have expertise which is appreciated.</t>
  </si>
  <si>
    <t>Overall, their platforms work efficiently.</t>
  </si>
  <si>
    <t>Training &amp; education; People, relationships &amp; professionalism</t>
  </si>
  <si>
    <t>For entry-level admin staff to be trained better.</t>
  </si>
  <si>
    <t>There could be faster response times.</t>
  </si>
  <si>
    <t>Revamp the platforms to all be on one platform.</t>
  </si>
  <si>
    <t>The overall service that NBIN provides is excellent, their technology leads me to an eight as opposed to ten.</t>
  </si>
  <si>
    <t>Client service.</t>
  </si>
  <si>
    <t>Focus on portfolio management sector.</t>
  </si>
  <si>
    <t>The people.</t>
  </si>
  <si>
    <t>Improve technology.</t>
  </si>
  <si>
    <t>Une bonne reputation aux Quebec, tres importante pour mes clients.</t>
  </si>
  <si>
    <t>Les outils technologiques.</t>
  </si>
  <si>
    <t>La reputation.</t>
  </si>
  <si>
    <t>La varieter des produits accessible.</t>
  </si>
  <si>
    <t>La service a la clientelle.</t>
  </si>
  <si>
    <t>Delay de traitment des demande.</t>
  </si>
  <si>
    <t>Creation d'un manuelle des precedures administratifs.</t>
  </si>
  <si>
    <t>A disconnect between different platforms. A lack of being on par with what is expected from clients these days. Wealth Simple is the bar. My Portfolio Plus is dated in terms of its look and feel. The onboard experience is very clunky.</t>
  </si>
  <si>
    <t>They are the only custodian we work with and are good enough.</t>
  </si>
  <si>
    <t>Trade execution</t>
  </si>
  <si>
    <t>Openness to technology feedback</t>
  </si>
  <si>
    <t>The senior executive team being very accessible</t>
  </si>
  <si>
    <t>Actually making technology advances</t>
  </si>
  <si>
    <t>Continuity in service staff</t>
  </si>
  <si>
    <t>Training &amp; education; People, relationships &amp; professionalism; Client service &amp; support (general)</t>
  </si>
  <si>
    <t>Similar training between service staff</t>
  </si>
  <si>
    <t>Overall they provide everything we need to manage our accounts.</t>
  </si>
  <si>
    <t>response time</t>
  </si>
  <si>
    <t>statements</t>
  </si>
  <si>
    <t>knowledge of administration staff.</t>
  </si>
  <si>
    <t>Because we have had a business relationship with them for years.</t>
  </si>
  <si>
    <t>Good customer service.</t>
  </si>
  <si>
    <t>Always willing to listen.</t>
  </si>
  <si>
    <t>Speediness of responses.</t>
  </si>
  <si>
    <t>Getting me the correct answer the first time.</t>
  </si>
  <si>
    <t>The turn around time is very slow.</t>
  </si>
  <si>
    <t>The process takes too long. The only come back to you when you chase them not automatically.</t>
  </si>
  <si>
    <t>We have worked with them for 20 plus years. We have a record with them.</t>
  </si>
  <si>
    <t>customer service</t>
  </si>
  <si>
    <t>infrastructure</t>
  </si>
  <si>
    <t>Estates &amp; settlements; Responsiveness &amp; turnaround; Client service &amp; support (general)</t>
  </si>
  <si>
    <t>The estate department need improvement in turn around.</t>
  </si>
  <si>
    <t>The RESP department needs improvement.</t>
  </si>
  <si>
    <t>The transfer department needs improvement.</t>
  </si>
  <si>
    <t>Technology &amp; platform integration; Communication &amp; proactivity; Client service &amp; support (general)</t>
  </si>
  <si>
    <t>They have good service. They need to be more proactive in their teams. Overall they have a good service. The platform is very easy to use.</t>
  </si>
  <si>
    <t>Trading &amp; market access; Technology &amp; platform integration</t>
  </si>
  <si>
    <t>The overall trading system is very good.</t>
  </si>
  <si>
    <t>Their service in terms of the platform is very good and easy to use and manage.</t>
  </si>
  <si>
    <t>They are very good in communicating with clients like us.</t>
  </si>
  <si>
    <t>Responsiveness &amp; turnaround; Communication &amp; proactivity; People, relationships &amp; professionalism</t>
  </si>
  <si>
    <t>The account manager and team need to be more proactive. They take too long to answer one question you have.</t>
  </si>
  <si>
    <t>They need to train or hire more people so as not to take too long to answer questions.</t>
  </si>
  <si>
    <t>The user experience with technology. Their willingness to build relationships with clients. Their willing to always try to help.</t>
  </si>
  <si>
    <t>The use of technology</t>
  </si>
  <si>
    <t>Building relationships</t>
  </si>
  <si>
    <t>Willingness to always help</t>
  </si>
  <si>
    <t>Internal training for their employees</t>
  </si>
  <si>
    <t>Ensure their employees know their clients - like us.</t>
  </si>
  <si>
    <t>Promptness on responses</t>
  </si>
  <si>
    <t>je suis generalemant satisfaites des servicea que l'on recoit et il y a de moins en moins d'offres sur le marche.</t>
  </si>
  <si>
    <t>Le travail en technologie - l'amelioration qu'il font a leur systeme</t>
  </si>
  <si>
    <t>Leurs ecoute quand on a des demandes specifiques</t>
  </si>
  <si>
    <t>La collaboration que je peux  avoir avec certains departements specifiques</t>
  </si>
  <si>
    <t>il devait ameliorer leurs expertise et connaisesse en operations</t>
  </si>
  <si>
    <t>Les communications - ils  devraient communiquer un probleme avant que ca soit nous qui leur dit qu'il y a un probleme</t>
  </si>
  <si>
    <t>The responsiveness has decreased. There is no accountability and no responsiveness. We had a team in past no longer have that.</t>
  </si>
  <si>
    <t>Service model &amp; restructuring; Ease of contact &amp; routing; Responsiveness &amp; turnaround</t>
  </si>
  <si>
    <t>There has been a real decline in responsiveness. NBIN changed their response model/delivery model and we are not get responses. They have decentralized. Prior to this I would have given them a higher rating. There is no longer any accountability.</t>
  </si>
  <si>
    <t>Service model &amp; restructuring; Ease of contact &amp; routing; Product breadth &amp; offering; Client service &amp; support (general)</t>
  </si>
  <si>
    <t>Overall the offering is very good. It is just that the decentralized model of service that is the real stickibg point and it needs to addressed.</t>
  </si>
  <si>
    <t>The business model for portfolio mangers</t>
  </si>
  <si>
    <t>Integratio0n with portfolio management system</t>
  </si>
  <si>
    <t>Integration with trading</t>
  </si>
  <si>
    <t>Providing a strong daily service team</t>
  </si>
  <si>
    <t>Dramatically improving responsiveness</t>
  </si>
  <si>
    <t>Reporting, statements &amp; data; Technology &amp; platform integration; Communication &amp; proactivity; People, relationships &amp; professionalism</t>
  </si>
  <si>
    <t>NBIN has more of a team approach and better technology reporting. NBIN provides regulatory updates.</t>
  </si>
  <si>
    <t>We are satisfied with the customer service NBIN provides.</t>
  </si>
  <si>
    <t>The ability to contact the right person the first time.</t>
  </si>
  <si>
    <t>Reporting, statements &amp; data; Product breadth &amp; offering</t>
  </si>
  <si>
    <t>The custodial statement layout.</t>
  </si>
  <si>
    <t>Trading &amp; market access; People, relationships &amp; professionalism; Client service &amp; support (general)</t>
  </si>
  <si>
    <t>The trade support team.</t>
  </si>
  <si>
    <t>Competitive position &amp; alternatives</t>
  </si>
  <si>
    <t>More competitive interest rate on cash accounts.</t>
  </si>
  <si>
    <t>Ability to recover swiss dividends withholding taxes.</t>
  </si>
  <si>
    <t>Happy with the service and a good relationship with the team.</t>
  </si>
  <si>
    <t>Client service</t>
  </si>
  <si>
    <t>Commitment to the quality</t>
  </si>
  <si>
    <t>More flexibility with client solutions</t>
  </si>
  <si>
    <t>Responsiveness &amp; turnaround; Knowledge, accuracy &amp; consistency; Training &amp; education; Communication &amp; proactivity; People, relationships &amp; professionalism</t>
  </si>
  <si>
    <t>We have had tranfers that took significantly longer than anticipated. We have had issues with a client who reached out NBIN and did not receive a response or the response was not clear. This led to further delays. We have also had information from NBIN on an update was incorrect. The client reached out to their own institution and the information they got conflicted with what we had recieved from NBIN. This resulted in us looking unprofessional.</t>
  </si>
  <si>
    <t>We have a generally positive opinion of NBIN. But we had issue regarding how quickly the team gets back to us. Issues around being timely, inaccurate information and not being proactive have caused delays. There has been a loss of time and effort.</t>
  </si>
  <si>
    <t>Pricing &amp; fees; Competitive position &amp; alternatives; Client service &amp; support (general)</t>
  </si>
  <si>
    <t>The cost for service they provide and it is competitively priced.</t>
  </si>
  <si>
    <t>We have had a long standing relationship and overall our general impression is positive.</t>
  </si>
  <si>
    <t>It is a very well recognized name that inspires a sense of confidence in our clients.</t>
  </si>
  <si>
    <t>Knowledge, accuracy &amp; consistency; Training &amp; education; Communication &amp; proactivity</t>
  </si>
  <si>
    <t>Consistency and opportunities for communication with clients and accuracy of the information they provide.</t>
  </si>
  <si>
    <t>Getting back to clients in timely manner.</t>
  </si>
  <si>
    <t>Knowledge, accuracy &amp; consistency; Communication &amp; proactivity</t>
  </si>
  <si>
    <t>Accuracy and proactivity when required and always cite a reason or next steps.</t>
  </si>
  <si>
    <t>Responsiveness &amp; turnaround; People, relationships &amp; professionalism; Leadership, brand &amp; scale; Client service &amp; support (general)</t>
  </si>
  <si>
    <t>It is a long term relationship and very positive. You have asked very appropriate questions. The leadership is amazing. There has been a impetus to put work back on my team and that my niggle. We used to use TD now it is NBIN. I'm looking to hire another Op's person. Overall we are happy with the services on the portfolio management side. Some of the Operations side is a work in progress.</t>
  </si>
  <si>
    <t>strong management</t>
  </si>
  <si>
    <t>strong trading desk</t>
  </si>
  <si>
    <t>They are always working on new initiatives like upgrading.</t>
  </si>
  <si>
    <t>If someone is good on the op's side they get promoted or they move on in 6-12 months. They tax our Op's more than I am comfortable with which is why I am looking at hiring an additional Op's person.</t>
  </si>
  <si>
    <t>Responsiveness &amp; turnaround; Communication &amp; proactivity; Client service &amp; support (general)</t>
  </si>
  <si>
    <t>It has been a struggle of late and it is not getting better. Communication is slow. The new method they are using to communicate was supposed to enhance or increase service level but has declined. The turn around time is an issue for us.</t>
  </si>
  <si>
    <t>It depends on the clients needs. NBIN has been doing this for a very long time. Our experience this year has not been great. I trust the people behind it and hope that we continue to have a voice to ensure changes are made.</t>
  </si>
  <si>
    <t>The level of experience behind the platform.</t>
  </si>
  <si>
    <t>They are trying to take into account all clients needs.</t>
  </si>
  <si>
    <t>When we do escalate they are open to hearing our experience and trying to make changes. They have events that bring us all us together to provide feedback.</t>
  </si>
  <si>
    <t>Communication &amp; proactivity; People, relationships &amp; professionalism; Client service &amp; support (general)</t>
  </si>
  <si>
    <t>Communication between us as client and service team.</t>
  </si>
  <si>
    <t>Responsiveness &amp; turnaround; Client service &amp; support (general)</t>
  </si>
  <si>
    <t>I dont know who is responsible for servicing our requests. Sometimes it takes while to get a response. We have been told to mark the request as urgent but I dont feel that we should have to do that with every request.</t>
  </si>
  <si>
    <t>Technology &amp; platform integration; Responsiveness &amp; turnaround; Communication &amp; proactivity</t>
  </si>
  <si>
    <t>The communication flow. The time it takes to get a response. What ever system they are using is impeding our flow. As far as I know, our emails go to a general system and sits in a line until someone responds. We dont have someone who knows us anymore.</t>
  </si>
  <si>
    <t>Parce ce que NBIN represent un des meilleurs choix sur le marcher.</t>
  </si>
  <si>
    <t>Je dirai reputation.</t>
  </si>
  <si>
    <t>Soliditer financieres.</t>
  </si>
  <si>
    <t>Leader dans sont industrie.</t>
  </si>
  <si>
    <t>Responsiveness &amp; turnaround; Training &amp; education</t>
  </si>
  <si>
    <t>Les delai dans les requettes, de demande de l"information. Sont assez long.</t>
  </si>
  <si>
    <t>Un meilleur soutien ou support avec l'application croesus.</t>
  </si>
  <si>
    <t>Ameliorer l'application de fichiers SFTP.</t>
  </si>
  <si>
    <t>Trading &amp; market access; Technology &amp; platform integration; Competitive position &amp; alternatives; Product breadth &amp; offering</t>
  </si>
  <si>
    <t>I think NBIN offers more options with its application, the other custodians I deal with but very limited.</t>
  </si>
  <si>
    <t>I guess we've had an overall good experience with NBIN. It meets all of our needs for the most part and our client needs as well.</t>
  </si>
  <si>
    <t>Technology &amp; platform integration; Product breadth &amp; offering; Client service &amp; support (general)</t>
  </si>
  <si>
    <t>I guess there applications they offer wide range of services.</t>
  </si>
  <si>
    <t>They're very professional and courteous.</t>
  </si>
  <si>
    <t>Basically the service they provide is convenient and well provided to us  as the institutional client and our mutual clients as well.</t>
  </si>
  <si>
    <t>I guess communication regarding questions and situations when trying to reach NBIN services, not sure if more people are needed to cover that area.</t>
  </si>
  <si>
    <t>Turn around time for responses to queries.</t>
  </si>
  <si>
    <t>One issue we have is finding answers on Compass. If more information could be available for Compass on common problems.</t>
  </si>
  <si>
    <t>Pricing &amp; fees; People, relationships &amp; professionalism</t>
  </si>
  <si>
    <t>Just overall relationship with NBIN over the years. It would have been higher if the fees weren't renegotiated the way they were.</t>
  </si>
  <si>
    <t>Relationship management.</t>
  </si>
  <si>
    <t>Attention to detail.</t>
  </si>
  <si>
    <t>Execution.</t>
  </si>
  <si>
    <t>Transparency.</t>
  </si>
  <si>
    <t>Fees.</t>
  </si>
  <si>
    <t>Proactiveness.</t>
  </si>
  <si>
    <t>NBIN is the best option that Im aware of</t>
  </si>
  <si>
    <t>Technology &amp; platform integration; Competitive position &amp; alternatives; Product breadth &amp; offering</t>
  </si>
  <si>
    <t>Their technology platform is better than other custodians.</t>
  </si>
  <si>
    <t>The response team/service team is excellent.</t>
  </si>
  <si>
    <t>Curtosy and proffessionalism.</t>
  </si>
  <si>
    <t>Trading &amp; market access; Pricing &amp; fees</t>
  </si>
  <si>
    <t>The trading fees are too high.</t>
  </si>
  <si>
    <t>Pricing &amp; fees; Product breadth &amp; offering</t>
  </si>
  <si>
    <t>The custody fees are too high.</t>
  </si>
  <si>
    <t>Ease of contact &amp; routing; Responsiveness &amp; turnaround</t>
  </si>
  <si>
    <t>The response time in email box should be faster.</t>
  </si>
  <si>
    <t>I have no comment.</t>
  </si>
  <si>
    <t>They need to work on the timeliness of their responses.</t>
  </si>
  <si>
    <t>When responding with a solution, or solution has been completed.  They need to check to see that's actually happened.</t>
  </si>
  <si>
    <t>It depends on needs and size of the organization. If they were more similar to ours, I would recommend NBIN.</t>
  </si>
  <si>
    <t>Knowledge, accuracy &amp; consistency; Leadership, brand &amp; scale</t>
  </si>
  <si>
    <t>Industry knowledge</t>
  </si>
  <si>
    <t>Access to specialty subgroups</t>
  </si>
  <si>
    <t>The number of clients they have that are similar to our business profile.</t>
  </si>
  <si>
    <t>The current service model channels all requests through the service teams slows down responsiveness.</t>
  </si>
  <si>
    <t>technol the use to track progr of req - needs to be mre robust</t>
  </si>
  <si>
    <t>Service model &amp; restructuring; People, relationships &amp; professionalism</t>
  </si>
  <si>
    <t>access to people in specialty grps</t>
  </si>
  <si>
    <t>Estates &amp; settlements; Technology &amp; platform integration; Training &amp; education</t>
  </si>
  <si>
    <t>length of time for settlement and the disjointed technical system we have to use -the MyRequest system through Compass and the reason is that my request status can only be seen by the person working on it but my co workers working on it in my absence cannot see information - so its a clunker especially if we are both working on the same estate.</t>
  </si>
  <si>
    <t>I dont think anything is perfect so they wont get a perfect score from  me</t>
  </si>
  <si>
    <t>The speed of processing day to day client transactions like electronics funds out to peoples accounts- any daily  money transactions related to our clients money accounts is a smooth process</t>
  </si>
  <si>
    <t>Resource info available on Compass is good such as Registerd Plans and new account applications</t>
  </si>
  <si>
    <t>sale of securites is also a seamless process</t>
  </si>
  <si>
    <t>Communication is slow -we used to use a pm support group so if i had a specific question (I as a client) could go directly to them</t>
  </si>
  <si>
    <t>They have eliminated the single point of process for us and so now we have to go to multiple departments instead of one point of contact</t>
  </si>
  <si>
    <t>Estates &amp; settlements; Staffing &amp; resources</t>
  </si>
  <si>
    <t>For the whole area of estate there is a need for more resources for clients- they need to train us in how to have a smooth estate settlement process.</t>
  </si>
  <si>
    <t>NBIN is easier to use. The access to client data more seamless.</t>
  </si>
  <si>
    <t>Difficulty in contacting people actually working on a file. Delay in processing distributions to beneficiers</t>
  </si>
  <si>
    <t>The service is very reliable. I value that and recommend that to someone else.</t>
  </si>
  <si>
    <t>reliability</t>
  </si>
  <si>
    <t>service professionalism</t>
  </si>
  <si>
    <t>customer interface</t>
  </si>
  <si>
    <t>access to trading personel</t>
  </si>
  <si>
    <t>access to estate department personel</t>
  </si>
  <si>
    <t>A good experience with NBIN. I very often know the people I am working with. I have some control and say in how things are done for my clients. I trust them.</t>
  </si>
  <si>
    <t>consistency</t>
  </si>
  <si>
    <t>accountability</t>
  </si>
  <si>
    <t>Willingness to help us solve problems.</t>
  </si>
  <si>
    <t>The technology stack</t>
  </si>
  <si>
    <t>Investing in the next layer of employees who have contact with firms directly.</t>
  </si>
  <si>
    <t>Getting better matched at new issues in stocks and fixed income.</t>
  </si>
  <si>
    <t>I don't think their monthly reporting is clear or easy to understand.</t>
  </si>
  <si>
    <t>Technology &amp; platform integration; Product breadth &amp; offering; People, relationships &amp; professionalism; Client service &amp; support (general)</t>
  </si>
  <si>
    <t>I think NBIN has the most comprehensive custodian services available, with the best online tools at this point. Generally, I found NBIN shows a willingness to work with us if we have issues or if we need something different than their current offering.</t>
  </si>
  <si>
    <t>I think they have the most comprehensive package or offering for custodial services.</t>
  </si>
  <si>
    <t>They seem to genuinely want to help find solutions for our firm or for our end clients.</t>
  </si>
  <si>
    <t>The quality of the responses or the information is typically very good.</t>
  </si>
  <si>
    <t>Sometimes, their response time can be really slow.</t>
  </si>
  <si>
    <t>With some things, particularly related to estates, they can be quite inflexible.</t>
  </si>
  <si>
    <t>Ease of contact &amp; routing; Client service &amp; support (general)</t>
  </si>
  <si>
    <t>Sometimes, it's really unclear which department we should be reaching out to.</t>
  </si>
  <si>
    <t>Responsiveness &amp; turnaround; Product breadth &amp; offering; Client service &amp; support (general)</t>
  </si>
  <si>
    <t>NBIN, they're good at the custodial, but getting assistance from the back office is very difficult. No one is available most of the time and if they do get back to you it takes days to get back to you. They've recently had the extreme line services. Different teams do different services, its worse, its supposed to have gotten better, but its gotten worse. It takes three days to a week to get back to us.</t>
  </si>
  <si>
    <t>They're good with the online services provided to clients.</t>
  </si>
  <si>
    <t>Accuracy, they don't usually have allot of mistakes.</t>
  </si>
  <si>
    <t>The client services department- being able to reach  people when we need assistance.</t>
  </si>
  <si>
    <t>Being able to get services quicker, like within the same day. Being able to reach someone the same day.</t>
  </si>
  <si>
    <t>When we do get assistance , the staff needs to be more knowledgeable.</t>
  </si>
  <si>
    <t>Technology &amp; platform integration; Product breadth &amp; offering</t>
  </si>
  <si>
    <t>The offering is superior and and far more intuitive.</t>
  </si>
  <si>
    <t>Responsiveness &amp; turnaround; Communication &amp; proactivity</t>
  </si>
  <si>
    <t>It is based on the quality of initial response we get to requests. Which ties into NBIN being proactive, finding solutions and so forth.</t>
  </si>
  <si>
    <t>Trading &amp; market access; Product breadth &amp; offering; People, relationships &amp; professionalism; Client service &amp; support (general)</t>
  </si>
  <si>
    <t>I appreciate the brokerage/custody service. and the quality of the fund and trading team. I like Mathew Pollick.</t>
  </si>
  <si>
    <t>Trading &amp; market access; People, relationships &amp; professionalism</t>
  </si>
  <si>
    <t>The trading fund team and their ability to innovate and adapt to the times.</t>
  </si>
  <si>
    <t>People, relationships &amp; professionalism; Leadership, brand &amp; scale; Client service &amp; support (general)</t>
  </si>
  <si>
    <t>The general service team could familiarize themselves with their portfolio management clients.</t>
  </si>
  <si>
    <t>They have a new system with multi departments. Request get fielded to the departments and as result there is a lot of bouncing around when something falls into a grey zone.</t>
  </si>
  <si>
    <t>I would encourage them not use chat GTP to respond to emails on delicate issues. A well written Chat response can be frustrating. More direct communication would be preferred.</t>
  </si>
  <si>
    <t>vague slow responses</t>
  </si>
  <si>
    <t>slow responses and delayed solutions</t>
  </si>
  <si>
    <t>Reporting, statements &amp; data; Client service &amp; support (general)</t>
  </si>
  <si>
    <t>clients barely use it - they have other reporting services</t>
  </si>
  <si>
    <t>they are big and okay</t>
  </si>
  <si>
    <t>big friendly care about client</t>
  </si>
  <si>
    <t>better quality  staff</t>
  </si>
  <si>
    <t>consistancy of people relationships</t>
  </si>
  <si>
    <t>faster turnaround</t>
  </si>
  <si>
    <t>Reporting, statements &amp; data; Technology &amp; platform integration; Competitive position &amp; alternatives; Product breadth &amp; offering; Client service &amp; support (general)</t>
  </si>
  <si>
    <t>The servicing tool is good. The onbroad tool - I'm not a fan of. We have to use a third part app CRESIS (sp?) and I'm not a fan of it. We up doing our own tax documents - which other custodians provide and it leads to omissions. We have to download documents. NBIN is more of a self service custodian. We have to do everything ourselves.</t>
  </si>
  <si>
    <t>No</t>
  </si>
  <si>
    <t>Onboarding &amp; account administration; Technology &amp; platform integration; People, relationships &amp; professionalism; Client service &amp; support (general)</t>
  </si>
  <si>
    <t>The servicing is a good program/application - I'd probably give that an 8 or 9. I do not like onboarding app and would probably give that a 4. I'd probably give their ability to reach out to people a 2. So it comes out to a 6 overall.</t>
  </si>
  <si>
    <t>They are just not the easiest costodians to work with.</t>
  </si>
  <si>
    <t>They have a good interspace for reviewing client accounts.</t>
  </si>
  <si>
    <t>A good servicing platform.</t>
  </si>
  <si>
    <t>No others.</t>
  </si>
  <si>
    <t>Bring back account managers, a central point of contact.</t>
  </si>
  <si>
    <t>Full tax packages</t>
  </si>
  <si>
    <t>Technology &amp; platform integration; Competitive position &amp; alternatives; Product breadth &amp; offering; People, relationships &amp; professionalism</t>
  </si>
  <si>
    <t>They rely to heavily on systems and they do not have people to reach out to, this where they fall short in comparison to other custodians.</t>
  </si>
  <si>
    <t>The transfer request on their end did not have right coding. They are not following up quickly on rejections.</t>
  </si>
  <si>
    <t>Because we are already using them and have a previous relationship. This would help in recommending them to other people.</t>
  </si>
  <si>
    <t>They are acting as custodian for our clients.</t>
  </si>
  <si>
    <t>Communication</t>
  </si>
  <si>
    <t>Getting me to a specific person to answer the question I have. The answers are too general. Many times the person does not have answer. It is taking too long to get the answers I need. Getting ahold of them when takes too long. They do not respond to my emails quickly.</t>
  </si>
  <si>
    <t>Nothing specific, there is no perfect score for me.</t>
  </si>
  <si>
    <t>The platform in NetRep.</t>
  </si>
  <si>
    <t>IMOST platform.</t>
  </si>
  <si>
    <t>None that I could think of at the moment.</t>
  </si>
  <si>
    <t>Onboarding &amp; account administration; Technology &amp; platform integration; Communication &amp; proactivity; Product breadth &amp; offering</t>
  </si>
  <si>
    <t>Some of it is dated. When they update or make changes it is rare that their isn't an issue. Some of the offerings are manual and not automated such as FHSA.</t>
  </si>
  <si>
    <t>Lack of knowledge and inconsistency in responses and requirements.</t>
  </si>
  <si>
    <t>Responsiveness &amp; turnaround; Competitive position &amp; alternatives; Product breadth &amp; offering</t>
  </si>
  <si>
    <t>The competition is catching up with better technolgy offerings and quicker in terms customer requirements. Some other firms have better ability to make us look better.</t>
  </si>
  <si>
    <t>Their supportive community and getting out here and being present.</t>
  </si>
  <si>
    <t>Communication to the firm has been increasing.</t>
  </si>
  <si>
    <t>They are open to making changes to their organizational structure to make it better.</t>
  </si>
  <si>
    <t>Finding a way for staff to provide consistent responses.</t>
  </si>
  <si>
    <t>Improvements to technology for better automation and  better and more automation.</t>
  </si>
  <si>
    <t>Quicker turn around times in terms of servicing.</t>
  </si>
  <si>
    <t>Lack of timeliness, response and information</t>
  </si>
  <si>
    <t>Responsiveness &amp; turnaround; Knowledge, accuracy &amp; consistency; Training &amp; education; Client service &amp; support (general)</t>
  </si>
  <si>
    <t>Accuracy and information received. Timeliness of information received. Lack of responsiveness. I have to set a reminder in my calender because they never get back to you. The timeliness in the service level, in turning things around is quite slow. My sense is that the assumption is that you are responsible for following up not the other way around; that they are responsible.</t>
  </si>
  <si>
    <t>Lack of availability of reports.</t>
  </si>
  <si>
    <t>Technology &amp; platform integration; Responsiveness &amp; turnaround; Knowledge, accuracy &amp; consistency; Client service &amp; support (general)</t>
  </si>
  <si>
    <t>The technology meets the needs but responsiveness, timelines, accuracy, the service customer service is lacking.</t>
  </si>
  <si>
    <t>Reduced turn over for staff</t>
  </si>
  <si>
    <t>Knowledge, accuracy &amp; consistency; Training &amp; education; People, relationships &amp; professionalism; Client service &amp; support (general)</t>
  </si>
  <si>
    <t>Training customer service staff. Sometimes I call and get the wrong answer</t>
  </si>
  <si>
    <t>Timeliness and responsiveness. The mindset and culture as well; they are not responsive and the timeline. Some understanding that we are working in a second by second environment.</t>
  </si>
  <si>
    <t>Estates &amp; settlements; Reporting, statements &amp; data; Service model &amp; restructuring; Responsiveness &amp; turnaround; Communication &amp; proactivity; Client service &amp; support (general)</t>
  </si>
  <si>
    <t>In last 12 month estates has been consistenly behind SLA. During first half of fiscal year the service model was indirect therefore hard to communicate with estates. It has improved in 2026 - NBIN has moved to direct service model. However Esates is still consistently behind SLA.</t>
  </si>
  <si>
    <t>Transfers; Communication &amp; proactivity; Client service &amp; support (general)</t>
  </si>
  <si>
    <t>They changed models from direct to indirect. Non ATON transfers have been behind the service level agreement. However communication has improved.</t>
  </si>
  <si>
    <t>NBIN is willing to listen to needs of clients however I would not say they are as proactive as they could be.</t>
  </si>
  <si>
    <t>Willingness to listen</t>
  </si>
  <si>
    <t>mutual fund trading system</t>
  </si>
  <si>
    <t>people</t>
  </si>
  <si>
    <t>proactivity</t>
  </si>
  <si>
    <t>more personalized service</t>
  </si>
  <si>
    <t>timely communication</t>
  </si>
  <si>
    <t>Their technology is easier to navigate. Accessing data is simpler Easier access to client reporting including tax reporting.</t>
  </si>
  <si>
    <t>Transfers; Responsiveness &amp; turnaround; Knowledge, accuracy &amp; consistency; People, relationships &amp; professionalism</t>
  </si>
  <si>
    <t>We have had a number of issues: There have been delays of residual funds. Instances of insurance being accepted incorrectly. Actions taken incorrectly. The general knowledge of the transfer team with understanding the validity of transfer instructions they are receiving.</t>
  </si>
  <si>
    <t>Reporting, statements &amp; data; Competitive position &amp; alternatives; Product breadth &amp; offering</t>
  </si>
  <si>
    <t>I dont think the do enough for year end reporting, enhanced tax reporting outside of bare minimum as required by the CRA. Other custodians put together a package. NBIN is lacking in this area.</t>
  </si>
  <si>
    <t>Transfers; Onboarding &amp; account administration</t>
  </si>
  <si>
    <t>They would normally be my go to for a recommendation. But with some of the challenges with transfers and account administration make me hesitant. Otherwise they would be my number one recommendation.</t>
  </si>
  <si>
    <t>cost</t>
  </si>
  <si>
    <t>relationship</t>
  </si>
  <si>
    <t>transfers</t>
  </si>
  <si>
    <t>Year end tax packages and reporting</t>
  </si>
  <si>
    <t>Staffing &amp; resources; Knowledge, accuracy &amp; consistency; People, relationships &amp; professionalism</t>
  </si>
  <si>
    <t>General staffing knowledge and understanding of their relationships</t>
  </si>
  <si>
    <t>Transfers; Reporting, statements &amp; data; Client service &amp; support (general)</t>
  </si>
  <si>
    <t>Too many clerical data input errors. Sloppy input by the transfers department.</t>
  </si>
  <si>
    <t>Too many clecical error and data input error resulting in too many errors requiring additional time and follow up.</t>
  </si>
  <si>
    <t>Trading &amp; market access; Product breadth &amp; offering</t>
  </si>
  <si>
    <t>There are not alot of other options out there. I am unfamiliar with other offerings. I am not going to put my clients through another conversion.</t>
  </si>
  <si>
    <t>Trading &amp; market access; Client service &amp; support (general)</t>
  </si>
  <si>
    <t>trading services</t>
  </si>
  <si>
    <t>data input</t>
  </si>
  <si>
    <t>response time for inquiries</t>
  </si>
  <si>
    <t>Responsiveness &amp; turnaround; Knowledge, accuracy &amp; consistency; People, relationships &amp; professionalism; Client service &amp; support (general)</t>
  </si>
  <si>
    <t>Todd. The guy we deal with, he's our VP in charge and we like him very much. He is responsible. Their service team needs some upgrading, they are not as knowledgeable. Todd gets everything done, we like him. We trust him. We never have a singular contact to call for a particular issue, we have to go through various departments. We never get the same person, slow reaction from the client service area is inconsistent.</t>
  </si>
  <si>
    <t>Month end reporting.</t>
  </si>
  <si>
    <t>Trusting Todd.</t>
  </si>
  <si>
    <t>Better compass.</t>
  </si>
  <si>
    <t>More consistent contact with the service area.</t>
  </si>
  <si>
    <t>Trading &amp; market access; Pricing &amp; fees; Technology &amp; platform integration</t>
  </si>
  <si>
    <t>On the trading platform , have bid and ask price.</t>
  </si>
  <si>
    <t>The ease of use of the technology</t>
  </si>
  <si>
    <t>Reporting, statements &amp; data; Pricing &amp; fees; Knowledge, accuracy &amp; consistency</t>
  </si>
  <si>
    <t>We have had a few issues with incorrect security pricing that led to incorrect values on clients statements</t>
  </si>
  <si>
    <t>My experience overall has been very positive and feel very inclined to give that reference/recommendation</t>
  </si>
  <si>
    <t>Their willing to proactively communicate</t>
  </si>
  <si>
    <t>Their willingness to search for creative solutions</t>
  </si>
  <si>
    <t>Pricing &amp; fees; Knowledge, accuracy &amp; consistency</t>
  </si>
  <si>
    <t>Ensuring that securities pricing is accurate</t>
  </si>
  <si>
    <t>Technology &amp; platform integration; Responsiveness &amp; turnaround; People, relationships &amp; professionalism; Client service &amp; support (general)</t>
  </si>
  <si>
    <t>The people I have dealt with are good. The 9's are where I am less satisfied. I am mostly satisfied with the services when I called. The 9 is more because the response was - go look it up on web - which is something I had already done.</t>
  </si>
  <si>
    <t>Mostly, their employees are well trained</t>
  </si>
  <si>
    <t>When you do need to escalate - the director is fantastic</t>
  </si>
  <si>
    <t>Communications are good. I feel like they communicate well. Given the massive change in the way they working, they have made it as easy on the client as possible.</t>
  </si>
  <si>
    <t>Being a bit more responsive on emails going into various inboxes. It takes a while and the responses could be quicker.</t>
  </si>
  <si>
    <t>IFM</t>
  </si>
  <si>
    <t>Pricing &amp; fees; Responsiveness &amp; turnaround; Competitive position &amp; alternatives</t>
  </si>
  <si>
    <t>They have generally been quite responsive. When ever I needed something they have generally accomodated what I need. The pricing is competitive.</t>
  </si>
  <si>
    <t>client service</t>
  </si>
  <si>
    <t>ease of communication and responsiveness</t>
  </si>
  <si>
    <t>Pricing &amp; fees; Competitive position &amp; alternatives</t>
  </si>
  <si>
    <t>competitive pricing</t>
  </si>
  <si>
    <t>Being flexible and quick when accommodating non-standard requests - meaning moving out of their rigid box.</t>
  </si>
  <si>
    <t>faciliter d'utisation des outils et  navigation intuitive</t>
  </si>
  <si>
    <t>Expertise developper depuis plusieurs annees a servir les gestionnaires independants.Qualite globale du service et l'engagement des employees</t>
  </si>
  <si>
    <t>les solutions technologues</t>
  </si>
  <si>
    <t>l'offre de service</t>
  </si>
  <si>
    <t>l'engagement des employees</t>
  </si>
  <si>
    <t>Embauche de personnel</t>
  </si>
  <si>
    <t>The platform does not connect properly. Tasks are not updated. Bookings and multiple requests and activity are not accepted through Imost. There are constant problems with technical requests.</t>
  </si>
  <si>
    <t>The same errors keep repeating each time for multiple requests.</t>
  </si>
  <si>
    <t>The platforms are very good.</t>
  </si>
  <si>
    <t>There have not been significant technological improvements. The help guide is still not useful.</t>
  </si>
  <si>
    <t>Since they made the changes there is no main contact and it is worse than others. You have to talk to a department instead of a person</t>
  </si>
  <si>
    <t>When you contact a department you are waiting and waiting. You have to follow up they dont come to you. It can take a full day to 2 days to get an answer to ta question.</t>
  </si>
  <si>
    <t>The web site is user friendly</t>
  </si>
  <si>
    <t>The web site</t>
  </si>
  <si>
    <t>Get rid of those departments and give us a client services person to deal with</t>
  </si>
  <si>
    <t>Generally satisfied all around with their services.</t>
  </si>
  <si>
    <t>Their technology.</t>
  </si>
  <si>
    <t>Entire suite of services.</t>
  </si>
  <si>
    <t>Their ability to contact them, sometimes long delay to reach them.</t>
  </si>
  <si>
    <t>Estates &amp; settlements; Responsiveness &amp; turnaround; Training &amp; education</t>
  </si>
  <si>
    <t>They do not move very quickly, on the whole on issues of handing and wrapping up estates. The information is not consist from case to case.</t>
  </si>
  <si>
    <t>On the whole NBIN is the largest third party custodian. They are a very good operation.</t>
  </si>
  <si>
    <t>The relative ease of getting new clients set up</t>
  </si>
  <si>
    <t>The relative ease of handling new clients situations</t>
  </si>
  <si>
    <t>Really good order execution</t>
  </si>
  <si>
    <t>Cleaning up the estates department, which is something I have been saying for some time.</t>
  </si>
  <si>
    <t>There is a very high level of professionalism with the people I deal with at NBIN. However they hace consistently been behind with deliverables especially  when it comes to the deadlines they have established. We have literally joke about this with them and at times just asked for to tell us honestly when it will be available. If we tell our advisors something that is not correct it makes us look bad.</t>
  </si>
  <si>
    <t>The people they hire</t>
  </si>
  <si>
    <t>The professionalism of the organization and the good people they hire. It is pleasure to deal with with them and they set a high standard in this regard.</t>
  </si>
  <si>
    <t>They are the devil we know. It would be too complicated to switch.</t>
  </si>
  <si>
    <t>Competitive position &amp; alternatives; Product breadth &amp; offering; Leadership, brand &amp; scale</t>
  </si>
  <si>
    <t>Study and emulate the best custodians in US and what they are doing.</t>
  </si>
  <si>
    <t>Dramatically improve the support they provide for the UMA platform.</t>
  </si>
  <si>
    <t>Competitive position &amp; alternatives; Product breadth &amp; offering</t>
  </si>
  <si>
    <t>There are still too many operational functions that require 2 steps instead of one. Some of the advisors we recruit tell us that they have worked with other custodians where things can be done in one step. There is uneccessary complexity. We have reccomended this to them.</t>
  </si>
  <si>
    <t>Our clientel are of a high net worth. They are expecting higher level of service and transactions. NBIN is below what they expect for speed and flexibility.</t>
  </si>
  <si>
    <t>Competitive position &amp; alternatives; Product breadth &amp; offering; Leadership, brand &amp; scale; Client service &amp; support (general)</t>
  </si>
  <si>
    <t>They are meeting our needs. Having spoken to colleagues who use other custodians they experience frustrations that are very similar. Yet we also benefit from their scale and brand and being attached to a fixed bank. We sometimes joke that they are the best of the worst. No one expects perfect service. Custodians are not easy service to provide.</t>
  </si>
  <si>
    <t>Communication. They are able to respond but are not perfect. They would do well to get back to us quicker and engage.</t>
  </si>
  <si>
    <t>Staffing &amp; resources; Leadership, brand &amp; scale</t>
  </si>
  <si>
    <t>Their scale is benefical and being attached to bank with their resources.</t>
  </si>
  <si>
    <t>They have a lot of consistency in management at the top level and that is something we rely on.</t>
  </si>
  <si>
    <t>Find ways to be more flexible and continue to adapt to our unique needs.</t>
  </si>
  <si>
    <t>Put our needs first in how to adapt, flexibility.</t>
  </si>
  <si>
    <t>Creativity. Always looking for ways to adapt our services, bring things to our attention and be more proactive.</t>
  </si>
  <si>
    <t>Service model &amp; restructuring; Technology &amp; platform integration; Client service &amp; support (general)</t>
  </si>
  <si>
    <t>I think their technology needs improvement. The service has been improving but still needs improvement. This year, there were a lot of challenges with the changes to their service model. I can see improvements but they are not there yet.</t>
  </si>
  <si>
    <t>More knowledgable staff</t>
  </si>
  <si>
    <t>Improvements in technology.</t>
  </si>
  <si>
    <t>Promptness in getting back to us.</t>
  </si>
  <si>
    <t>Technology &amp; platform integration; Knowledge, accuracy &amp; consistency; Client service &amp; support (general)</t>
  </si>
  <si>
    <t>They have the actual infrastructure and expertise. They could do a better job in servicing those accounts. They have cut back. When things go sideways it is it is difficult. They need to up their game in servicing. The account managers have a lot on plate and cant service when things go arie.</t>
  </si>
  <si>
    <t>good infrastructure</t>
  </si>
  <si>
    <t>Reliability. They dont have outages.</t>
  </si>
  <si>
    <t>The account managers need better support. They can answer about 60% but struggle on the remaining 40%.</t>
  </si>
  <si>
    <t>Pricing &amp; fees; Training &amp; education; Client service &amp; support (general)</t>
  </si>
  <si>
    <t>Pricing value. Given the services that I am asking for, I'm in awe that I am being charged for tiny bits of information. I feel like I'm being nicked and dimed, for example the CRM Reports. I'm being charged for information they already have.</t>
  </si>
  <si>
    <t>Le service je peut l'avoire en francais.</t>
  </si>
  <si>
    <t>Le delai pour ouvrir une compte. Trop long, est le temp pour repondre a notre question.</t>
  </si>
  <si>
    <t>Je dirai pour les employee, pour les personnes responsable qui a le coeur a la firme.</t>
  </si>
  <si>
    <t>J'ai rien.</t>
  </si>
  <si>
    <t>Le temps de repondre.</t>
  </si>
  <si>
    <t>Ameliorer la platforme aussie NetRep.</t>
  </si>
  <si>
    <t>Amelioration de platformes onboarding de l'integration.</t>
  </si>
  <si>
    <t>Transfers; Technology &amp; platform integration; Responsiveness &amp; turnaround; Knowledge, accuracy &amp; consistency; Competitive position &amp; alternatives</t>
  </si>
  <si>
    <t>When talking about this I'm think of the competition. In the past, I have given praise to NBIN. We just consolidated some business and there has been so much efficiency. There have also been a lot of hiccups, some iss technological glitches, some transfers being posted inccorrectly. There have been distributions being posted incorrectly, payments not going out payments not going out and knowledge gaps in the specialized teams.</t>
  </si>
  <si>
    <t>The self service model.</t>
  </si>
  <si>
    <t>Reliable escalation contacts.</t>
  </si>
  <si>
    <t>Building knowledge for specialized teams.</t>
  </si>
  <si>
    <t>Reply to requests within the specified SLA time frame.</t>
  </si>
  <si>
    <t>Looking into things more deeply; the efficiency of the teams.</t>
  </si>
  <si>
    <t>Some of one like Compass; I'd give a higher number. But others like Net Rep are a little bit behind.</t>
  </si>
  <si>
    <t>The My Portfolio Plus system as well as online system to set up is definitly not user friendly</t>
  </si>
  <si>
    <t>There is definely areas for improvement but when I consider other back office options they definely stand above.</t>
  </si>
  <si>
    <t>The Risk Team; they have good experience and knowledge on that side of the business.</t>
  </si>
  <si>
    <t>Employee retention. You connect with someone and they move on to another role.</t>
  </si>
  <si>
    <t>We've been working with NBIN since 2014. We feel like they provide great value for the cost, and we will definitely continue working with them.</t>
  </si>
  <si>
    <t>Investment in technology.</t>
  </si>
  <si>
    <t>Great client service.</t>
  </si>
  <si>
    <t>Great brokerage services.</t>
  </si>
  <si>
    <t>Simplify how to contact the client services team.</t>
  </si>
  <si>
    <t>Service model &amp; restructuring; Training &amp; education</t>
  </si>
  <si>
    <t>Better training for the specialist teams.</t>
  </si>
  <si>
    <t>They are nothing special but adequate. Often times, getting clients set up with online access is difficult for the clients and inconvenient for us.</t>
  </si>
  <si>
    <t>Bad service, bad responsiveness and lots of errors.</t>
  </si>
  <si>
    <t>Better responsiveness</t>
  </si>
  <si>
    <t>Better knowledge on the part of frontline people</t>
  </si>
  <si>
    <t>Lower error rates</t>
  </si>
  <si>
    <t>Transfers; Onboarding &amp; account administration; Competitive position &amp; alternatives; Product breadth &amp; offering</t>
  </si>
  <si>
    <t>A lot other custodians utilize email to request transfers and to set up new accounts. NBIN is more self serve.</t>
  </si>
  <si>
    <t>Lack of communication and lack of urgency. Delays in processing, receiving corespondence and answering questions.</t>
  </si>
  <si>
    <t>client reporting</t>
  </si>
  <si>
    <t>prompt email responses responses</t>
  </si>
  <si>
    <t>Limiting delays</t>
  </si>
  <si>
    <t>Being timely</t>
  </si>
  <si>
    <t>It seems like poor roll out of multiple systems. I dont know why you need so many systems doing same thing. A lack of accommodation for certain situations</t>
  </si>
  <si>
    <t>The process flow design with other custodians is much better - an all in one system ID.</t>
  </si>
  <si>
    <t>They did not exceed my expectations and did not agravate. Five is a good mid way mark</t>
  </si>
  <si>
    <t>Responsiveness &amp; turnaround; Knowledge, accuracy &amp; consistency; Client service &amp; support (general)</t>
  </si>
  <si>
    <t>They like to deny responsibility for making mistakes. The new service is going downhill. There is a lack of accountability.</t>
  </si>
  <si>
    <t>Data feed through FSTP.</t>
  </si>
  <si>
    <t>Ease of use of Netrep</t>
  </si>
  <si>
    <t>service</t>
  </si>
  <si>
    <t>system upgrade</t>
  </si>
  <si>
    <t>Technology &amp; platform integration; Product breadth &amp; offering; Leadership, brand &amp; scale</t>
  </si>
  <si>
    <t>Their custodial business works well for us and we would expect it to work well for others. It integrated well with our portfolio management system.</t>
  </si>
  <si>
    <t>They are proactive in the business.</t>
  </si>
  <si>
    <t>They are willing to engage with us as the client</t>
  </si>
  <si>
    <t>Trading &amp; market access; Knowledge, accuracy &amp; consistency</t>
  </si>
  <si>
    <t>They are knowledgeable and effective in administration and trading</t>
  </si>
  <si>
    <t>keep forging ahead</t>
  </si>
  <si>
    <t>Transfers; Onboarding &amp; account administration; Responsiveness &amp; turnaround; Knowledge, accuracy &amp; consistency</t>
  </si>
  <si>
    <t>It was a complicated transfer and didn't advise us of how to proceed. There was constantly wrong guidance and kind of being thrown form this group to that group.  It resulted in it taking a long time in redoing many aspects of it.</t>
  </si>
  <si>
    <t>I think overall the services are very useful, despite minor annoyances. The different portals and stuff work well.</t>
  </si>
  <si>
    <t>I think their Netrep platform works well.</t>
  </si>
  <si>
    <t>I think ultimately when there's issues, NBIN service team will go the extra mile to help resolve them.</t>
  </si>
  <si>
    <t>Trading &amp; market access; Responsiveness &amp; turnaround; People, relationships &amp; professionalism; Client service &amp; support (general)</t>
  </si>
  <si>
    <t>I think the trade desk is very responsive and very helpful.</t>
  </si>
  <si>
    <t>I think their bond desk could be improved.  EX: their ability to bid and offer on quote requests.</t>
  </si>
  <si>
    <t>The new Compass is fairly annoying that you have to log into multiple things, the rollout seems very long and doesn't seem to work that well.</t>
  </si>
  <si>
    <t>Reporting, statements &amp; data; Technology &amp; platform integration; Product breadth &amp; offering</t>
  </si>
  <si>
    <t>Because they have different platforms that satisfy different needs, you cant compare fully. As a custodian they are very similiar in terms of their statements and electronic access.</t>
  </si>
  <si>
    <t>As a PM they have extensive background and knowledge base. They know our business. For our kind of business it would be difficult to compete without them.</t>
  </si>
  <si>
    <t>They are owned by bank which makes it easier on custodians.</t>
  </si>
  <si>
    <t>Communication &amp; proactivity; Client service &amp; support (general)</t>
  </si>
  <si>
    <t>They are proactive in trying to improve service.</t>
  </si>
  <si>
    <t>They care about their clients</t>
  </si>
  <si>
    <t>Try not to have so much turn over in staff</t>
  </si>
  <si>
    <t>The estates that we were trying to settle took an enormous amount of time and at one point we were told the estates department was forty five days behind.</t>
  </si>
  <si>
    <t>There's not allot of choices.</t>
  </si>
  <si>
    <t>The name,  their a Canadian Bank. Investors have comfort in that.</t>
  </si>
  <si>
    <t>Get people that are  more knowledgeable of what they do.</t>
  </si>
  <si>
    <t>Have a dedicated person who looks after each individual dealer.</t>
  </si>
  <si>
    <t>Have better contact, its all email electronic, have better voice contact.</t>
  </si>
  <si>
    <t>They are a large player in the industry. They are well respected and well connected to other software tools.</t>
  </si>
  <si>
    <t>scale</t>
  </si>
  <si>
    <t>The willingness of the account manager and more senior representatives to assist firms.</t>
  </si>
  <si>
    <t>Their focus on supporting the independent wealth mangagement space</t>
  </si>
  <si>
    <t>Their new service model is very challenging for clients, it is poor with slow response.</t>
  </si>
  <si>
    <t>High trading fees</t>
  </si>
  <si>
    <t>They are slow to improve their technology</t>
  </si>
  <si>
    <t>Transfers; Responsiveness &amp; turnaround; Training &amp; education; People, relationships &amp; professionalism</t>
  </si>
  <si>
    <t>I deal with escalations for transfers and lots of times it takes  an extremely long to get results or we need to send the information more than once. Sometimes transfer follows are  not done on time or escalations are not done properly.</t>
  </si>
  <si>
    <t>Service model &amp; restructuring; Responsiveness &amp; turnaround; Knowledge, accuracy &amp; consistency; Client service &amp; support (general)</t>
  </si>
  <si>
    <t>There's been some recent changes within their service model and we've been struggling to get proper and timely responses. The knowledge we receive compared to when we were serviced by one individual has shifted drastically</t>
  </si>
  <si>
    <t>They are friendly</t>
  </si>
  <si>
    <t>Understanding</t>
  </si>
  <si>
    <t>Retaining knowledgeable staff</t>
  </si>
  <si>
    <t>Proper training amongst teams - so they are all on the same page - to avoid discrepancies.</t>
  </si>
  <si>
    <t>Better response time to enquiries, emails and resolving issues</t>
  </si>
  <si>
    <t>The research platform awful. It is hard to find something. It is antiquated looks like something from 2015. It is cr**. NetRep is pretty old too. It is not as functional as it could be. There is a  lot of room for improvement in comparisson to other custodial platforms.</t>
  </si>
  <si>
    <t>There is no central blotter. You have to go account by account unless you are uploading trades. You cant buy or sell bonds on the system. These are basic things.</t>
  </si>
  <si>
    <t>Technology &amp; platform integration; People, relationships &amp; professionalism; Leadership, brand &amp; scale; Client service &amp; support (general)</t>
  </si>
  <si>
    <t>The platform is pretty good, need modernization and to be more secure. Some of the people in back office - it takes while to get an answer. There have been circumstatnces where we were not satisfied with national bank's solutions.</t>
  </si>
  <si>
    <t>Transfers; Technology &amp; platform integration</t>
  </si>
  <si>
    <t>The self serve platform is handy for cash transfers - really good.</t>
  </si>
  <si>
    <t>The Effects platform is pretty good</t>
  </si>
  <si>
    <t>The Bondess plaform service is pretty good.</t>
  </si>
  <si>
    <t>Improve the Trading platform</t>
  </si>
  <si>
    <t>Improve the back office services and timeliness</t>
  </si>
  <si>
    <t>Improve nuances for non resident accounts</t>
  </si>
  <si>
    <t>Competitive position &amp; alternatives; Client service &amp; support (general)</t>
  </si>
  <si>
    <t>It is a more expensive service than alternatives in the market</t>
  </si>
  <si>
    <t>The technology - it is very outdated and need to do something about it</t>
  </si>
  <si>
    <t>Technology integration with 3rd party applications.</t>
  </si>
  <si>
    <t>Service model &amp; restructuring; Responsiveness &amp; turnaround; Training &amp; education; People, relationships &amp; professionalism; Client service &amp; support (general)</t>
  </si>
  <si>
    <t>With the new service model, response times are much longer and there is definetly room for improvement. There is a lot of new staff and it may be training related.</t>
  </si>
  <si>
    <t>client focused</t>
  </si>
  <si>
    <t>They provide alternative solutions - which I like.</t>
  </si>
  <si>
    <t>Make a sincere effort to improve services and deal promptly with escalations.</t>
  </si>
  <si>
    <t>Look at staffing. They always seem to be behind. It may be seasonal but we are noticing it quite a bit at the moment.</t>
  </si>
  <si>
    <t>Taking longer to complete things. Before it was 2-3 business days now it is taking weeks.</t>
  </si>
  <si>
    <t>Lately the service has been bad. SLA times have been bad.</t>
  </si>
  <si>
    <t>They are accomodating</t>
  </si>
  <si>
    <t>They do get back to you pretty quickly.</t>
  </si>
  <si>
    <t>Nice staff</t>
  </si>
  <si>
    <t>Better SLA</t>
  </si>
  <si>
    <t>Better at listening to our concerns and fixing them.</t>
  </si>
  <si>
    <t>Cheaper trading pricing.</t>
  </si>
  <si>
    <t>Technology &amp; platform integration; Responsiveness &amp; turnaround; Knowledge, accuracy &amp; consistency; Communication &amp; proactivity</t>
  </si>
  <si>
    <t>Les délais, les temps de traitement et de réponse. La fréquence des réponses aux questions qu'on nous fait qui sont inappropriées dans le dossier précis. Des questions déjà répondues dans le texte précédent ou qui ne concernent pas du tout le dossier précis en question. Le système de communication entre nous et le département, i.e COMPASS, qui nous empêche de communiquer, beaucoup de barrières à la communication. Erreurs multiples dans les feuillets fiscaux.</t>
  </si>
  <si>
    <t>Les délais de suivi entre les départements de transferts des institutions.</t>
  </si>
  <si>
    <t>Les délais de réponse, les questions posées dont la réponse est déjà incluse dans les communications précédentes, la difficulté à faire un suivi sur un dossier qui n'a pas encore été pris en charge(en lien avec le fait que notre suivi se retrouve encore en fin de ligne). L'absence de prise en charge d'un dossier déjà en cours lorsque la personne est absente.</t>
  </si>
  <si>
    <t>J'apprécie le désir de BNRI de fournir les outils nécessaires pour nous aider dans nos tâches quotidiennes, et à évoluer. Le manque constant de personnel rend notre quotidien et notre engagement envers nos clients un défi constant.</t>
  </si>
  <si>
    <t>Le désir de nous accompagner.</t>
  </si>
  <si>
    <t>Mise en place de plateformes pour nous assister.</t>
  </si>
  <si>
    <t>Certaines personnes sont prêtes à nous assister en cas de besoin.</t>
  </si>
  <si>
    <t>Avoir du personnel suffisant et qualifié.</t>
  </si>
  <si>
    <t>Le système de gestion des comptes enregistrés (paiements).</t>
  </si>
  <si>
    <t>There have been a lot of issues lately. Which when the system is down it is usually after some type of update.  Usually we inform NBIN before they send something out.</t>
  </si>
  <si>
    <t>Estates &amp; settlements; Reporting, statements &amp; data</t>
  </si>
  <si>
    <t>Although estates has improved there is still work that needs to get done. It is taking longer and longer to issue tax slips for estates and not having the appropriate notes.</t>
  </si>
  <si>
    <t>Transfers; Responsiveness &amp; turnaround; Leadership, brand &amp; scale</t>
  </si>
  <si>
    <t>Although we input our own transfers, when there is an issue it is taking longer and longer. It can go on for a couple of weeks to a month. We had a client where it took 3 months to get a transfer done. We had to get the tansfer faxed and it was done on legal size paper instead of letter size.</t>
  </si>
  <si>
    <t>Onboarding &amp; account administration; Communication &amp; proactivity</t>
  </si>
  <si>
    <t>We use onboarding to onboard administration. When NBIN makes errors it takes a while to get fixed and updated appropriately.</t>
  </si>
  <si>
    <t>There have been a lot of technical issues lately, which sometimes causes reports to be delayed or not totally accurate which then causes issues in our business.</t>
  </si>
  <si>
    <t>I'm not sure what other brokers there are out there. But  due to some issues we have experience lately it was more of a 7.</t>
  </si>
  <si>
    <t>The ability to view our clients online.</t>
  </si>
  <si>
    <t>The Accounting department</t>
  </si>
  <si>
    <t>Pricing &amp; fees; Leadership, brand &amp; scale</t>
  </si>
  <si>
    <t>The ability for us to upload management fees</t>
  </si>
  <si>
    <t>Their new email system</t>
  </si>
  <si>
    <t>Their response time in getting back to us</t>
  </si>
  <si>
    <t>Their technology</t>
  </si>
  <si>
    <t>The extreme variability of the service. If the request is received in one persons inbox the service is great but another person might be significantly worse.</t>
  </si>
  <si>
    <t>The service is very well tailored to the  needs of independent investment council.</t>
  </si>
  <si>
    <t>Procedures.</t>
  </si>
  <si>
    <t>Better communication on service team reorganizations.</t>
  </si>
  <si>
    <t>More uniform service delivery levels.</t>
  </si>
  <si>
    <t>I guess its just the overall experience. It could be better, but thank god its not worse.</t>
  </si>
  <si>
    <t>The account managers.Having a relationship with account managers.</t>
  </si>
  <si>
    <t>I would love to see a more immediate response, Ex: not like in an hour, like twenty four hours from emails, I am not getting.</t>
  </si>
  <si>
    <t>Les délais sont long(ex: 3 heures) pour répondre à nos questions, et il y souvent des problèmes à parler a la bonne personne afin de régler les problèmes, ou changer un mot de passe.</t>
  </si>
  <si>
    <t>Trading &amp; market access; Competitive position &amp; alternatives; Leadership, brand &amp; scale</t>
  </si>
  <si>
    <t>Car il y a d'autres alternatives sur le marché, et quand on recommande quelque chose, on veut avoir plusieurs options, mais on mettrait quand même BNRI.</t>
  </si>
  <si>
    <t>La réputation de Banque Nationale.</t>
  </si>
  <si>
    <t>La taille de cette entreprise, i.e. BNRI.</t>
  </si>
  <si>
    <t>Banque Québecoise.</t>
  </si>
  <si>
    <t>Avoir une application pour que les clients puissent se connecter, et pas seulement un site web.</t>
  </si>
  <si>
    <t>Améliorer les délais d'attentes pour tout ce qui est administration, i.e. les transferts, etc.</t>
  </si>
  <si>
    <t>Inaccuracy of advice.</t>
  </si>
  <si>
    <t>Our overall experience with NBIN.</t>
  </si>
  <si>
    <t>Responsiveness &amp; turnaround; Leadership, brand &amp; scale</t>
  </si>
  <si>
    <t>Senior Management response.</t>
  </si>
  <si>
    <t>Industry expertise.</t>
  </si>
  <si>
    <t>Response times.</t>
  </si>
  <si>
    <t>Service model &amp; restructuring; Responsiveness &amp; turnaround; People, relationships &amp; professionalism; Client service &amp; support (general)</t>
  </si>
  <si>
    <t>The quality of responses and timeliness of them.Recent  changes to their service model means the SLA is  much slower than previously. It sounds like there are alot of new team members and they struggle with understanding our line of business.</t>
  </si>
  <si>
    <t>Very personable and easy to talk to.</t>
  </si>
  <si>
    <t>Specific individuals are easy to contact to ask questions and are  quite knowledgeable.</t>
  </si>
  <si>
    <t>Senior people I deal with always try their best and try to solve any  issue we have.</t>
  </si>
  <si>
    <t>Improve turn around time.</t>
  </si>
  <si>
    <t>Improve transfer platforms.</t>
  </si>
  <si>
    <t>Improve SLA and turn around times for openings.</t>
  </si>
  <si>
    <t>Outdated look and feel.</t>
  </si>
  <si>
    <t>There's very little competition in Canada, and that reflects in the service we get.</t>
  </si>
  <si>
    <t>They are opened to creative ideas.</t>
  </si>
  <si>
    <t>They can be flexible in their approach.</t>
  </si>
  <si>
    <t>Although they are a bank, they are stil entrepreneurial.</t>
  </si>
  <si>
    <t>A modernized offering.</t>
  </si>
  <si>
    <t>More urgency to solve problems.</t>
  </si>
  <si>
    <t>Being more mindful of communicating changes to their clients.</t>
  </si>
  <si>
    <t>L'interface pour naviguer est plus facile.</t>
  </si>
  <si>
    <t>La capacité d'offrir le service de garde, ou de fiduciaire, avec le service transactionnel.</t>
  </si>
  <si>
    <t>Plateforme intégrée.</t>
  </si>
  <si>
    <t>Proximité.</t>
  </si>
  <si>
    <t>L'intégration de leurs systèmes.</t>
  </si>
  <si>
    <t>I would say trading platform is antiquated.</t>
  </si>
  <si>
    <t>I'd say statements are confusing for clients.</t>
  </si>
  <si>
    <t>Scale of platform and market share.</t>
  </si>
  <si>
    <t>Scale of operations.</t>
  </si>
  <si>
    <t>Permanency of operations.</t>
  </si>
  <si>
    <t>Brand name.</t>
  </si>
  <si>
    <t>Improve customer orientation.</t>
  </si>
  <si>
    <t>Improve timeliness of responses.</t>
  </si>
  <si>
    <t>there 2 systems we have to navigate - old compass and new compass - and the systems are too rigid</t>
  </si>
  <si>
    <t>It takes a long time for the Estate department to process  settlements and required documents not clearly stated before - which requires us to go to the clients several times</t>
  </si>
  <si>
    <t>its difficult to get in contact with anybody and reply times are too long</t>
  </si>
  <si>
    <t>nbin has changed their service platform and it has made it more difficult to interact with them</t>
  </si>
  <si>
    <t>they have a good trading desk</t>
  </si>
  <si>
    <t>helpfull in complaince matters</t>
  </si>
  <si>
    <t>proactive in the crs fatca requierements</t>
  </si>
  <si>
    <t>the client service - new system is difficult to work with and lead times has doubled or tripled it doesnt feel like there anybody supporting us</t>
  </si>
  <si>
    <t>Technology &amp; platform integration; Responsiveness &amp; turnaround; Communication &amp; proactivity; Client service &amp; support (general)</t>
  </si>
  <si>
    <t>The communication between the approval department  and our firm when Imost requests are rejected - we dont receive  timely notification</t>
  </si>
  <si>
    <t>The new Compass is a nightmare to get back on forth and navigate. Their systems are archaic.</t>
  </si>
  <si>
    <t>They don't let you talk directly to the estate team. You dont know what is going on and have to go through a middle man.</t>
  </si>
  <si>
    <t>Transfers; Training &amp; education</t>
  </si>
  <si>
    <t>You dont know to talk to. There is not a lot of clarity. Cant monitor the transfer and there is not a lot of information.</t>
  </si>
  <si>
    <t>The flow of  feedback. You dont get an email back and it is hard to talk to right person.</t>
  </si>
  <si>
    <t>We don't really use it</t>
  </si>
  <si>
    <t>I am familiar with other custodians and they are a lot better.</t>
  </si>
  <si>
    <t>The fixed income team</t>
  </si>
  <si>
    <t>Better assistance for portfolio managers</t>
  </si>
  <si>
    <t>Better transfer process that is quicker.</t>
  </si>
  <si>
    <t>Turn around</t>
  </si>
  <si>
    <t>Product breadth &amp; offering; People, relationships &amp; professionalism; Client service &amp; support (general)</t>
  </si>
  <si>
    <t>I find they have more wider services available and the services that they do offer, they tend to go deeper with. One of the biggest thing is we have a very good relationship manager Todd Brennand.</t>
  </si>
  <si>
    <t>Just been a good experience.</t>
  </si>
  <si>
    <t>I'd say strength of the team.</t>
  </si>
  <si>
    <t>Strength of technology.</t>
  </si>
  <si>
    <t>Strength of platform.</t>
  </si>
  <si>
    <t>Lower commission rates.</t>
  </si>
  <si>
    <t>Its hard to say NBIN does exactly what we need it to do, however there are some services that could be a little higher professional. In just day to day service between our team and getting in contact with NBIN its not easy. As a whole, we are satisfied, there is no major issues to flag.</t>
  </si>
  <si>
    <t>I do think your transfers department is pretty good.</t>
  </si>
  <si>
    <t>Dealing with FX team.</t>
  </si>
  <si>
    <t>Service model &amp; restructuring; Technology &amp; platform integration</t>
  </si>
  <si>
    <t>I think the Compass transition once in full effect its already been allot better.</t>
  </si>
  <si>
    <t>I think the new service model can use improvement.</t>
  </si>
  <si>
    <t>Onboarding- the process, the documentation has not really changed and the technology around it has not been improved in quite some time, we would like to see bigger technology presence with the Onboarding.</t>
  </si>
  <si>
    <t>Probably  - ex: we did deal with an estate settlement and it was my first experience with it and it was good but not great.</t>
  </si>
  <si>
    <t>The technology is functional but it is old and in need of updating</t>
  </si>
  <si>
    <t>Other custodian is more rigid in their  application of rules but their technology is more sofisticated . NBIN is more flexible in  attempting to achieve the desired outcome but they are sometimes compremised by their outdated technology</t>
  </si>
  <si>
    <t>The tranfers department experiences frequent human error</t>
  </si>
  <si>
    <t>There is nothing exceptional about the service</t>
  </si>
  <si>
    <t>While there are pain points NBIN tries hard to get the job done</t>
  </si>
  <si>
    <t>reasonable flexibility</t>
  </si>
  <si>
    <t>commitment to attempting to solve problems</t>
  </si>
  <si>
    <t>addaquate funtionality</t>
  </si>
  <si>
    <t>technology stack</t>
  </si>
  <si>
    <t>communication takes time and is rushed and not clear</t>
  </si>
  <si>
    <t>fewer uncessary fees</t>
  </si>
  <si>
    <t>NBIN used to deliver top notch service across all departments. That is no longer the case. There are still a number of individuals that provide excellent service.</t>
  </si>
  <si>
    <t>A faster turn around and response times. Typically it can take them 4 days to receive a  response to an inquiry.</t>
  </si>
  <si>
    <t>A greater focus on relationship building.</t>
  </si>
  <si>
    <t>Enhanced training for some staff</t>
  </si>
  <si>
    <t>The platform is easy to use. There have been very little issues. The onboarding has gotten easier. I hear good things from clients. clients have also mentioned that a phone app would be good.</t>
  </si>
  <si>
    <t>Transfers; Responsiveness &amp; turnaround; Communication &amp; proactivity; Product breadth &amp; offering</t>
  </si>
  <si>
    <t>All custodians are antiquated. There are communication issues, delays. There have been difficulties with NBIN; transfers in and out have been chaoitic.</t>
  </si>
  <si>
    <t>Onboarding &amp; account administration; Responsiveness &amp; turnaround; Knowledge, accuracy &amp; consistency; Communication &amp; proactivity; People, relationships &amp; professionalism</t>
  </si>
  <si>
    <t>Communication has deteriorated greatly. We used to have daily contact and a rep who could escalate things if needed. The personal touch has been lost. Responses from the teams have been robotic. With opening new accounts and processing money there have been more mistake and less person contact.</t>
  </si>
  <si>
    <t>They have invested in new technology.</t>
  </si>
  <si>
    <t>I know they are looking at and are interested in improving and technology.</t>
  </si>
  <si>
    <t>We are not really that satisfied so it is hard to tell.</t>
  </si>
  <si>
    <t>Training of staff</t>
  </si>
  <si>
    <t>I'm gonna say response faster and willing to go the extra mile.</t>
  </si>
  <si>
    <t>The estate department needs help, response time is slow and working with them is difficult.</t>
  </si>
  <si>
    <t>Generally happy with the services that we get from NBIN.</t>
  </si>
  <si>
    <t>Response time.</t>
  </si>
  <si>
    <t>Willingness to be flexible.</t>
  </si>
  <si>
    <t>Thinking outside of the box.</t>
  </si>
  <si>
    <t>I know we've had some problems with the estate department.</t>
  </si>
  <si>
    <t>I think it was just the amount of time it took them to get back to me on situational complexity of the case.</t>
  </si>
  <si>
    <t>Responsiveness &amp; turnaround; Competitive position &amp; alternatives; Product breadth &amp; offering; Leadership, brand &amp; scale; Client service &amp; support (general)</t>
  </si>
  <si>
    <t>I think overall NBIN is efficient with their services, overall they are responsive and i feel like their assistance in technical services that they provide are pretty good and are a good competition out there. I would say they're on par with other industry custodians</t>
  </si>
  <si>
    <t>I think their technology. Types of service platforms</t>
  </si>
  <si>
    <t>Their client service model.</t>
  </si>
  <si>
    <t>Their expertise in the registered accounts.</t>
  </si>
  <si>
    <t>I think just their delivery of response time.</t>
  </si>
  <si>
    <t>Just perhaps being more active over the phone as oppose to email.</t>
  </si>
  <si>
    <t>Transfers; Estates &amp; settlements; Service model &amp; restructuring; Responsiveness &amp; turnaround; Client service &amp; support (general)</t>
  </si>
  <si>
    <t>Just easily being able to deal with the specialized department, ex the transfer department i could get a direct number to contact and speak to a specialist directly, which will enhance and improve timeline for delivery and responses and the estate department as an example to.</t>
  </si>
  <si>
    <t>Very bad responsiveness. I has never been great but in the last few months it has become progressively worse. The rejection emails are not coming through and we have to chase them down. By time they respond things may have resolved themselves via other means.</t>
  </si>
  <si>
    <t>In the last 4 months, the service level dropped off drastically. Since they made recent changes there is  still an issue with consistency with all staff regarding proceedures.</t>
  </si>
  <si>
    <t>history</t>
  </si>
  <si>
    <t>A good foundational base of technology</t>
  </si>
  <si>
    <t>The service levels. They did not adequately cross train all staff before they mad their changes. We get different answers from different staff.</t>
  </si>
  <si>
    <t>Technology &amp; platform integration; Responsiveness &amp; turnaround; People, relationships &amp; professionalism</t>
  </si>
  <si>
    <t>The interface is rather old. It does not compare to other technologies in place. Error checking and the screen fonts are difficult to read. The interfaces could us improved. The redevelopment of Compass is very, very slow for the improvements they are putting in place. It is more difficult to control access to certain employees for compliance related. They have been dis-improvements from compliance functionality point of view.</t>
  </si>
  <si>
    <t>Technology &amp; platform integration; Responsiveness &amp; turnaround; Competitive position &amp; alternatives; Product breadth &amp; offering</t>
  </si>
  <si>
    <t>One of the custodians technical in6terface, it is a total package solution, is easily integrated and fast. The other custodians technology is older and clunky.</t>
  </si>
  <si>
    <t>It is slow and tedious.</t>
  </si>
  <si>
    <t>Transfers on average get rejected for various reasons despite our best attempt to do everything properly. They are slow to get back to us. By the time they do there are errors again and it is very frustrating. There is no problem getting transfers out but we have to make 2 or 3 attempts to get transfers in.</t>
  </si>
  <si>
    <t>Pricing &amp; fees; Competitive position &amp; alternatives; Product breadth &amp; offering; Client service &amp; support (general)</t>
  </si>
  <si>
    <t>NBIN charges a premium price but we are not getting premium value. Other custodians are less costly and provide better or equivilant service.</t>
  </si>
  <si>
    <t>Getting their technology platform significantly improved.</t>
  </si>
  <si>
    <t>Faster turn around times for for service requests.</t>
  </si>
  <si>
    <t>Better client interfacing.</t>
  </si>
  <si>
    <t>Responsiveness &amp; turnaround; Communication &amp; proactivity; People, relationships &amp; professionalism; Client service &amp; support (general)</t>
  </si>
  <si>
    <t>I feel that the back office staff could use some improvement with the  speed of their communications. I do feel that any time I escalate an issue- its been dealt with promptly.</t>
  </si>
  <si>
    <t>Their private placements departments are the best - they do a good job dealing with us and  they guide us through the process.</t>
  </si>
  <si>
    <t>Transfers; Responsiveness &amp; turnaround; Client service &amp; support (general)</t>
  </si>
  <si>
    <t>The account transfer department-they deal with transfers on a very good basis - very quickly</t>
  </si>
  <si>
    <t>I really appreciate our relationship with Matthew Pollock he is a pleasure to work with and he deals with issues immediately</t>
  </si>
  <si>
    <t>The NBIN general box - it takes a long time to get a response</t>
  </si>
  <si>
    <t>I feel like some of their systems like account openings could be easier</t>
  </si>
  <si>
    <t>Some of the programs does not accept e-sign documents. We have to spend a lot time converting and it is frustrating. The transfers department is a wreck</t>
  </si>
  <si>
    <t>It has just been really bad. It has taken way longer. In one instance it took weeks to correct and when corrected was wrong. There is no accountabilit.</t>
  </si>
  <si>
    <t>The encompssing process - they need to find a way to make less cumbersome</t>
  </si>
  <si>
    <t>Things like altcash - we cant get it in bulk and this makes it hard to provide to clients</t>
  </si>
  <si>
    <t>I dont know the other competition so cant make comparrison</t>
  </si>
  <si>
    <t>Taking care of money</t>
  </si>
  <si>
    <t>registered account mangement</t>
  </si>
  <si>
    <t>estates</t>
  </si>
  <si>
    <t>onboarding</t>
  </si>
  <si>
    <t>Lack of consistency. Staff turn over. Failure to get back in a timely manner. Elevating issues doesnt seem to help.</t>
  </si>
  <si>
    <t>Breath of coverage of products.</t>
  </si>
  <si>
    <t>Senior client service provider is great.</t>
  </si>
  <si>
    <t>Partnership</t>
  </si>
  <si>
    <t>Consistency of administrative function</t>
  </si>
  <si>
    <t>Having more interaction with staff.</t>
  </si>
  <si>
    <t>The technology needs to be accelerated</t>
  </si>
  <si>
    <t>There's  been a few IT failures. Systems are very outdated.</t>
  </si>
  <si>
    <t>Just very outdated reporting services. Lack of customization.</t>
  </si>
  <si>
    <t>Just some service issues and I think a lack of investment on the technology side.</t>
  </si>
  <si>
    <t>Reputable backed by large bank.</t>
  </si>
  <si>
    <t>Customer service by account managers.</t>
  </si>
  <si>
    <t>Stable platform.</t>
  </si>
  <si>
    <t>More investment in technology.</t>
  </si>
  <si>
    <t>Better client reporting on service requests.</t>
  </si>
  <si>
    <t>We would like the rating to higher because of the  knowledge on estates is not being used for its maximum consent.</t>
  </si>
  <si>
    <t>Improvement in estate work</t>
  </si>
  <si>
    <t>On-time projects</t>
  </si>
  <si>
    <t>The length of delays. Unclear instructions. Changing instruct. Difficulties in reaching somebody to get an answer.</t>
  </si>
  <si>
    <t>Knowledge, accuracy &amp; consistency; Client service &amp; support (general)</t>
  </si>
  <si>
    <t>They are honest. They are striving to do the best they can. They are generally knowledgeable. They provide a range of services that a firm such as ours needs.</t>
  </si>
  <si>
    <t>A complete range of services.</t>
  </si>
  <si>
    <t>Their team is reasonable to deal with.</t>
  </si>
  <si>
    <t>It may take them a while but they do get the job done.</t>
  </si>
  <si>
    <t>The estate department. It is getting better but it is not there yet.</t>
  </si>
  <si>
    <t>Reduce the fees they charge.</t>
  </si>
  <si>
    <t>Continue to improve the knowledge of front line personell.</t>
  </si>
  <si>
    <t>Its better than it used to be but still not integrated in a way thats very functional for us.</t>
  </si>
  <si>
    <t>Just very slow and its very procedurely not. Not made easy, theres a pushback, its not like their trying to help, its like theyre trying to push back.</t>
  </si>
  <si>
    <t>The reporting is  very standard, theres nothing great about it.</t>
  </si>
  <si>
    <t>Trading &amp; market access; Product breadth &amp; offering; Leadership, brand &amp; scale; Client service &amp; support (general)</t>
  </si>
  <si>
    <t>There aren't a ton of options for independent asset management, for custody services, like NBIN is the only one, recommended by default.</t>
  </si>
  <si>
    <t>The size of their organization.</t>
  </si>
  <si>
    <t>I would hope the scale of the organization.</t>
  </si>
  <si>
    <t>Integrating technology in a way that is focused on the client being the asset manager not the end client.</t>
  </si>
  <si>
    <t>Integrating the NBIN organization within the larger banks, as it relates to banks and investment research .</t>
  </si>
  <si>
    <t>Just better client service, either more people or more effective people so things don't take as long.</t>
  </si>
  <si>
    <t>The technology systems being down. Ease of access.</t>
  </si>
  <si>
    <t>Estates &amp; settlements; Responsiveness &amp; turnaround</t>
  </si>
  <si>
    <t>Wait times for processing estates. Wait times for follow ups.</t>
  </si>
  <si>
    <t>Transfers; Estates &amp; settlements; Onboarding &amp; account administration; Knowledge, accuracy &amp; consistency; Client service &amp; support (general)</t>
  </si>
  <si>
    <t>Just the overall service we receive from there has declined over the last year. Although they have presented new initiatives such as department dividing. Dividing the departments and access to transfers, estates and account administration, there seems to be a lack of knowledge in those departments.</t>
  </si>
  <si>
    <t>Recognition of a bank being behind them.</t>
  </si>
  <si>
    <t>Reputation.</t>
  </si>
  <si>
    <t>Their Risk and Regulatory department.</t>
  </si>
  <si>
    <t>Knowledge, accuracy &amp; consistency; Training &amp; education; People, relationships &amp; professionalism</t>
  </si>
  <si>
    <t>Knowledgeable trained staff.</t>
  </si>
  <si>
    <t>Follow up times.</t>
  </si>
  <si>
    <t>Acknowledgement of our requests in a timely fashion.</t>
  </si>
  <si>
    <t>There is not a timeliness of response. The are slow and there is a lack of knowledge.</t>
  </si>
  <si>
    <t>They are adequate but not exceptional.</t>
  </si>
  <si>
    <t>Very little support or interest. We are not a big firm and they are not attentive to our needs.</t>
  </si>
  <si>
    <t>magnitude</t>
  </si>
  <si>
    <t>They are Canadian</t>
  </si>
  <si>
    <t>Their location</t>
  </si>
  <si>
    <t>Knowledge. Their asset class knowledge is lacking.</t>
  </si>
  <si>
    <t>Their technology is not great.</t>
  </si>
  <si>
    <t>Their online platform</t>
  </si>
  <si>
    <t>Estates &amp; settlements; Responsiveness &amp; turnaround; Communication &amp; proactivity</t>
  </si>
  <si>
    <t>A recent estate settlement where there were delays and communication was far inbetween.</t>
  </si>
  <si>
    <t>There have been longer delay in the last 12 months. It is harder to get a hold of the right person</t>
  </si>
  <si>
    <t>Comparing with other custodians, their statements have work to do to improve the overall look and feel of statement.</t>
  </si>
  <si>
    <t>Upper management has an entreprenerial spirit that manages well with independents like our firm.</t>
  </si>
  <si>
    <t>They cater to independent firms like us</t>
  </si>
  <si>
    <t>A willingness to listen and accomodate</t>
  </si>
  <si>
    <t>The Transfer department</t>
  </si>
  <si>
    <t>A dedicated point person for our administration team versus various departments.</t>
  </si>
  <si>
    <t>Improve turn around time on quiries</t>
  </si>
  <si>
    <t>Statement reporting</t>
  </si>
  <si>
    <t>Parce que je croix c'est un decison complex. Claire de considerer une decision qui est propre a chacun des fermes, suppose elle meme les questions de tout les companies existe.</t>
  </si>
  <si>
    <t>D'avoire comme clientelle principal, les gestionaire independants.</t>
  </si>
  <si>
    <t>Etre une division de la Banque Nationale de Canada.</t>
  </si>
  <si>
    <t>D'avoire une presence importante aux Quebec.</t>
  </si>
  <si>
    <t>La rapiditer de reponses.</t>
  </si>
  <si>
    <t>Faciliter a correspondant avec les techniciens ou les gents de NBIN.</t>
  </si>
  <si>
    <t>Augmenter les niveaux technologique de services.</t>
  </si>
  <si>
    <t>When sending email to the team we had to follow to get answers. We are not getting replies within a 48 hour time frame. My requests and submitting information do not seem to be looked at or addressed with 48 hours.</t>
  </si>
  <si>
    <t>The Transfers department is not following up on submtted transfers or giving reasons for the delay.</t>
  </si>
  <si>
    <t>We are not getting responses within 48 hours and following up constantly. There is not a thorough reading questions and getting answers for part of the question.</t>
  </si>
  <si>
    <t>Working with client accounts can be frustrating due to long turn around time for responses.</t>
  </si>
  <si>
    <t>Service model &amp; restructuring; Responsiveness &amp; turnaround; People, relationships &amp; professionalism; Leadership, brand &amp; scale</t>
  </si>
  <si>
    <t>The responses from managers/team leaders when you escalate.</t>
  </si>
  <si>
    <t>client staemnt and reporting</t>
  </si>
  <si>
    <t>General professionalism when speaking with NBIN people.</t>
  </si>
  <si>
    <t>attention to detail regarding inquiries sent and urgency</t>
  </si>
  <si>
    <t>Lack of action and lack of follow-up. Lack of communication with the advisor team.</t>
  </si>
  <si>
    <t>They've been fairly prompt. Whenever we reach out to fix any issues, they do address them. I feel like they've been doing fairly well with it.</t>
  </si>
  <si>
    <t>Lack of performance data and no multi-factor authentication. These two issues are very commonly experienced for our clients. There's no ability for two-way document sharing, so clients cannot upload documents to the portal for us to see them.</t>
  </si>
  <si>
    <t>Transfers; Knowledge, accuracy &amp; consistency; Product breadth &amp; offering; People, relationships &amp; professionalism; Client service &amp; support (general)</t>
  </si>
  <si>
    <t>Staff I've worked with at NBIN are very knowledgeable and very helpful. There seems to be some departments, such as transfers, that diminish their offering a bit.</t>
  </si>
  <si>
    <t>The people that work there. There are good relationships, and they are really helpful.</t>
  </si>
  <si>
    <t>The tools they're rolling out seem to be really good.</t>
  </si>
  <si>
    <t>The communication with staff there is really good. Internal feedback from most staff is usually really helpful and good.</t>
  </si>
  <si>
    <t>The transfer process of external assets.</t>
  </si>
  <si>
    <t>The online portal could be modernized.</t>
  </si>
  <si>
    <t>Ease of contact &amp; routing; Responsiveness &amp; turnaround; Client service &amp; support (general)</t>
  </si>
  <si>
    <t>They no longer have a centralized customer service email and you must send it to right group. But there is no way to find out who that is. It can take 4-6 weeks to get something adressed.</t>
  </si>
  <si>
    <t>Their technology platform is very good, very comprehensive and well thought out. There customer service leaves a lot to be desired.</t>
  </si>
  <si>
    <t>Their block trading desk is very good.</t>
  </si>
  <si>
    <t>Net Rep is good</t>
  </si>
  <si>
    <t>Their subscription research service is very good.</t>
  </si>
  <si>
    <t>Customer services needs a lot of work.</t>
  </si>
  <si>
    <t>A centalized email box for general inquiries.</t>
  </si>
  <si>
    <t>They need to be more prompt in email replies. It is not good enough in retail space.</t>
  </si>
  <si>
    <t>Onboarding &amp; account administration; Technology &amp; platform integration; Responsiveness &amp; turnaround; Knowledge, accuracy &amp; consistency; Training &amp; education</t>
  </si>
  <si>
    <t>Onboarding in particular- its tedious and it takes too long to get feedback when things have been done incorrectly. new compass tools are untuitive . Pulling information from NetRep is time consuming</t>
  </si>
  <si>
    <t>Similar to what was said in last Question - generally can be inefficient  at times</t>
  </si>
  <si>
    <t>Reporting, statements &amp; data; Technology &amp; platform integration; Responsiveness &amp; turnaround; Knowledge, accuracy &amp; consistency</t>
  </si>
  <si>
    <t>tax reporting is long the files are diffuclt to acces in bulk stamrnts are inconsistant with what accountants often require and the online portal is difficult to set up and acess for some clients</t>
  </si>
  <si>
    <t>Not familiar enough with other providers</t>
  </si>
  <si>
    <t>Trading platform is good</t>
  </si>
  <si>
    <t>support team is responsive</t>
  </si>
  <si>
    <t>the brand reputation is reliable  - they have a good reputation</t>
  </si>
  <si>
    <t>more streamlined on boarding processes would be good</t>
  </si>
  <si>
    <t>more intuitive  tools to support portfolio managers</t>
  </si>
  <si>
    <t>deepening relationships with primary points of contact</t>
  </si>
  <si>
    <t>Acessing the tool and it is easy to use. Sometimes we dont hear back for weeks or month, Sometimes the responses are not helpful.</t>
  </si>
  <si>
    <t>I wish they were a bit more helpful.</t>
  </si>
  <si>
    <t>Bring back legacy compass.</t>
  </si>
  <si>
    <t>Communication on transfers between Transfer Department and us.</t>
  </si>
  <si>
    <t>Improve the distribution lists</t>
  </si>
  <si>
    <t>The roll out of new compass is completely broken. We are constantly having to toggle with the new system and it is a waste of time. The need a more complete roll out rather then a piecemeal approach.</t>
  </si>
  <si>
    <t>Transfers; Responsiveness &amp; turnaround; Communication &amp; proactivity</t>
  </si>
  <si>
    <t>We measure the amount of rejections we receive. Sometime back we noticed that NB has started rejecting more. It is taking long times to transfer while we are in a period of market volitility. That harms the clients. The rejection reasons are not instructive on how to resolve issues. This results in more back and forth for us to determine the reasons.</t>
  </si>
  <si>
    <t>Timeliness to service is fairly slow. Sometimes they dont look at the full questions. This results in longer back and forth. Sometimes there is no reply and we have to follow up to make sure it has been received or that there is a ticket.</t>
  </si>
  <si>
    <t>We are continually locked out. There are changes in process. It is not intuitive and we direct clients not to use it. There have been changes in email and the contact phone numbers. For our older clients that are not digital natives that is an issue.</t>
  </si>
  <si>
    <t>Leadership, brand &amp; scale; Client service &amp; support (general)</t>
  </si>
  <si>
    <t>We are out west and are an afterthought to National Bank. The service I would not recommend.</t>
  </si>
  <si>
    <t>Trading &amp; market access; Technology &amp; platform integration; People, relationships &amp; professionalism</t>
  </si>
  <si>
    <t>More flexibility in how we can trade in the platform and if it was a little more customizable.</t>
  </si>
  <si>
    <t>Their bond inventor lacking</t>
  </si>
  <si>
    <t>Estates &amp; settlements; Pricing &amp; fees</t>
  </si>
  <si>
    <t>Their settlement fees are quite high</t>
  </si>
  <si>
    <t>The relationship managers have poor communication. The  roll out of changes has been quite painful to go through.</t>
  </si>
  <si>
    <t>Lots of follow ups.</t>
  </si>
  <si>
    <t>Lots of follow up requests.</t>
  </si>
  <si>
    <t>They dont have a lot of the things we look for. This may be due to our hybrid model set up</t>
  </si>
  <si>
    <t>They are one of the biggest back office solutions. There are not a lot of other options.</t>
  </si>
  <si>
    <t>Lots of different people to answer questions</t>
  </si>
  <si>
    <t>The escalation contacts are good</t>
  </si>
  <si>
    <t>I find compliance is pretty good</t>
  </si>
  <si>
    <t>Technology</t>
  </si>
  <si>
    <t>Response times</t>
  </si>
  <si>
    <t>Onboarding &amp; account administration; Technology &amp; platform integration; People, relationships &amp; professionalism</t>
  </si>
  <si>
    <t>You need to log into 2 different portals. It is not user friendly. The onboard process is not very good for new accounts.</t>
  </si>
  <si>
    <t>With the other platforms we use, we have an automated reconciliation that feeds into our system. With NBIN. we have to extract and do our own reconciliation process.</t>
  </si>
  <si>
    <t>Today we sent something to NBIN at 12:30 and it has not been acknowledged so far. We have escalated to our own rep within NBIN and he has not heard back to so far. The inner NBIN team has not responded. There is no follow up and no one has responded.</t>
  </si>
  <si>
    <t>Responsiveness &amp; turnaround; Knowledge, accuracy &amp; consistency; Training &amp; education; Communication &amp; proactivity</t>
  </si>
  <si>
    <t>We have been trying to update an account and there has been a lot of back and forth. Some information is inaccurate and they keep telling us different information.</t>
  </si>
  <si>
    <t>There was a discrepency on the statement. It has taken a month and has been resolved.</t>
  </si>
  <si>
    <t>The quality of service received is not at par with our own business model.</t>
  </si>
  <si>
    <t>The senior management team.</t>
  </si>
  <si>
    <t>More training</t>
  </si>
  <si>
    <t>The turn around times need to be quicker.</t>
  </si>
  <si>
    <t>Very poor communication and follow up. They did not adhere to timelines.</t>
  </si>
  <si>
    <t>There is only limited choice of custodians available in Canada. NBIN provides better service. There is only a choice between 2 custodians.</t>
  </si>
  <si>
    <t>Client focused from customer service perspective.</t>
  </si>
  <si>
    <t>Compliance and regulatory support.</t>
  </si>
  <si>
    <t>Transfers; Responsiveness &amp; turnaround; Communication &amp; proactivity; Client service &amp; support (general)</t>
  </si>
  <si>
    <t>Service from the transfers department with respect communication and follow up.</t>
  </si>
  <si>
    <t>response times are too slow</t>
  </si>
  <si>
    <t>too slow and response times are not good</t>
  </si>
  <si>
    <t>They are too slow. There are no real humans to talk to when we try to get things done.</t>
  </si>
  <si>
    <t>They are unresponsive and too slow</t>
  </si>
  <si>
    <t>The web sites</t>
  </si>
  <si>
    <t>transf department</t>
  </si>
  <si>
    <t>Account opening</t>
  </si>
  <si>
    <t>Theirs been an increase in connectivity errors and not being able to access platforms, especially compass going down.</t>
  </si>
  <si>
    <t>Some of the reports that they provide is on a regular basis are clunky to navigate.</t>
  </si>
  <si>
    <t>Not applicable to the role that I am in.</t>
  </si>
  <si>
    <t>Transfers; Technology &amp; platform integration; Leadership, brand &amp; scale</t>
  </si>
  <si>
    <t>The transfer management platform is very easy to navigate.</t>
  </si>
  <si>
    <t>Going back to a more service focused model instead of what they've recently navigated towards.</t>
  </si>
  <si>
    <t>Moving to more secure platforms and taking security more seriously with authentication and updating passwords more regularly.</t>
  </si>
  <si>
    <t>Onboarding &amp; account administration; Technology &amp; platform integration; Responsiveness &amp; turnaround</t>
  </si>
  <si>
    <t>More prompt solutions and fixes to their digital onboarding platform, there has been pending issues and errors in the documentation since launch.</t>
  </si>
  <si>
    <t>Reporting, statements &amp; data; Technology &amp; platform integration; Responsiveness &amp; turnaround; Leadership, brand &amp; scale</t>
  </si>
  <si>
    <t>The systems are very disjointed. Access management is horrible. Users get access to function they should not. We dont get a clear reporting on who can access and do what. We have spent weeks trying to figure out and it is still unresolved.</t>
  </si>
  <si>
    <t>With other custodians, access is granted function by function. I can go in and see who has access. This is ganular level.  Other custodians provide for multi user functions in that there are two individuals; one who transacts and another that has oversight and provides approval. NBIN has none of that. This is the functioning of the system.</t>
  </si>
  <si>
    <t>The portal and statements are not client centric.</t>
  </si>
  <si>
    <t>Technology. There is better out there particularly with respect to security. The other reason is that it would depend on their needs.</t>
  </si>
  <si>
    <t>our relationship manager</t>
  </si>
  <si>
    <t>their scale</t>
  </si>
  <si>
    <t>Their people, the general team.</t>
  </si>
  <si>
    <t>Easier communication or contact methods.</t>
  </si>
  <si>
    <t>Trading &amp; market access; Technology &amp; platform integration; Responsiveness &amp; turnaround; Leadership, brand &amp; scale</t>
  </si>
  <si>
    <t>The compass experience looks promissing but the fact that we only have a hand full of optimized requests completed limits the impact. Delays to roll outs to enhanced trading solutions continues to impact the firm. Continue to experience high volumes of system outages.</t>
  </si>
  <si>
    <t>Reporting, statements &amp; data; Responsiveness &amp; turnaround; Product breadth &amp; offering</t>
  </si>
  <si>
    <t>Tax slip production this year was not great-delays to production and delivery of T3's was felt across the firm.</t>
  </si>
  <si>
    <t>Challenges within ,improving processes, getting a hold of the right people at the right time, experienced poor communication and poor follow up and a  lack of responsiveness</t>
  </si>
  <si>
    <t>The road map technology looks promissing</t>
  </si>
  <si>
    <t>They need to reduce manual processes to insure consistancy</t>
  </si>
  <si>
    <t>Need to improve tax delivery and service channels related to tax delivery</t>
  </si>
  <si>
    <t>I have to go to multiple portals to see what clients own in their portfolios. I have to go to another portal to get documents. If a client needs a password reset I am unable to do it and have to get them to call a 1-800 number. I have no contro9l over this and would prefer to do the password reset myself. cash trans f and tecn -nb promises 3 turn around comp next day</t>
  </si>
  <si>
    <t>Transfers; Technology &amp; platform integration; Competitive position &amp; alternatives; Product breadth &amp; offering; Client service &amp; support (general)</t>
  </si>
  <si>
    <t>With other custodians I can get everything I need in one portal. I am able to easily help clients with password resets. If I do it first thing in the morning, a cash transfer to clients sometimes arrives that day.</t>
  </si>
  <si>
    <t>The process is very manual and  not intuitive from a feedback perspective; meaning if it is rejected with NBIN I may not find out for a week or more.</t>
  </si>
  <si>
    <t>Transfers; Onboarding &amp; account administration; Technology &amp; platform integration; Responsiveness &amp; turnaround; Knowledge, accuracy &amp; consistency; Competitive position &amp; alternatives; Product breadth &amp; offering; Client service &amp; support (general)</t>
  </si>
  <si>
    <t>NBIN does not have the ability or technology backbone to allow my organization to open an account online and set up a transfer through an automated system. My clients expect faster turn around and accurate documentation. With a manual process the odds of mistakes become much higher. Other custodians allow account opening and account servicing. They allow me to deliver a better experience to my clients.</t>
  </si>
  <si>
    <t>Legacy; they have lots of clients.</t>
  </si>
  <si>
    <t>Invest in technology.</t>
  </si>
  <si>
    <t>The ability to be flexible with investment firms they work with.</t>
  </si>
  <si>
    <t>The ability to pay on cash deposits rather than making me invest in a money market fund for free balances.</t>
  </si>
  <si>
    <t>Le service impecable.</t>
  </si>
  <si>
    <t>Implementation.</t>
  </si>
  <si>
    <t>Cybersecuriter.</t>
  </si>
  <si>
    <t>Service a la clientelle.</t>
  </si>
  <si>
    <t>Ca serait rapiditer de reglement de transaction.</t>
  </si>
  <si>
    <t>Ease of contact &amp; routing; People, relationships &amp; professionalism</t>
  </si>
  <si>
    <t>EX : difficulter a rejoindre l'equipe de reglement.</t>
  </si>
  <si>
    <t>Je dirai system de suivi de ticket.</t>
  </si>
  <si>
    <t>Ease of contact &amp; routing; Leadership, brand &amp; scale</t>
  </si>
  <si>
    <t>Car on devient vite indépendant dans les processus, mais une fois qu'on sait comment tout fonctionne, et qu'on a un problème, c'est difficile de rejoindre BNRI.</t>
  </si>
  <si>
    <t>La plateforme technologique de BNRI.</t>
  </si>
  <si>
    <t>La flexibilité de BNRI, évolution des services et systèmes.</t>
  </si>
  <si>
    <t>L'équipe de négociation est très solide.</t>
  </si>
  <si>
    <t>Améliorer le service client; les délais de réponse et la qualité des réponses.</t>
  </si>
  <si>
    <t>allot of their technology solutions dont fit with our accounts, some of the processes on IMOST aren't consistent,</t>
  </si>
  <si>
    <t>Transfers; Technology &amp; platform integration; Responsiveness &amp; turnaround; Knowledge, accuracy &amp; consistency</t>
  </si>
  <si>
    <t>difficult to understand the transfer system and what to choose and there is a delay in response also the number of days suggested for the expected transfer is typically incorrect and doesn't follow protocol.</t>
  </si>
  <si>
    <t>some reports are not available everyday and allot are delayed</t>
  </si>
  <si>
    <t>Hard to contact, hard to reach, delay in response, difficult to complete process in appropriate timeline.</t>
  </si>
  <si>
    <t>their new issues team</t>
  </si>
  <si>
    <t>their ability to open accounts</t>
  </si>
  <si>
    <t>their banking team</t>
  </si>
  <si>
    <t>better communication</t>
  </si>
  <si>
    <t>prompt responses</t>
  </si>
  <si>
    <t>trying to find an appropriate solution for the context of the situation</t>
  </si>
  <si>
    <t>Estates &amp; settlements; Reporting, statements &amp; data; Knowledge, accuracy &amp; consistency</t>
  </si>
  <si>
    <t>There are certain things  such as  tax slip that reflect asset value at time of death. They were unable to provide over several months. It is required reporting but they still were unable to provide the distribution to beneficiary of the estate. It was done incorrectly and we were unable to correct over many months.</t>
  </si>
  <si>
    <t>The speed of service – how quickly they correct mistakes, especially the more complicated ones they tend to be one week to several months to restore or resolve an issue.</t>
  </si>
  <si>
    <t>Trading &amp; market access; Responsiveness &amp; turnaround; Knowledge, accuracy &amp; consistency</t>
  </si>
  <si>
    <t>They are very quick and accurate at executing trades.</t>
  </si>
  <si>
    <t>We always able to talk to someone.</t>
  </si>
  <si>
    <t>System is easy to use.</t>
  </si>
  <si>
    <t>Service person we talk to could be more knowledgeable.</t>
  </si>
  <si>
    <t>For account updates they were not able to enter the information at the first try. We had to send them an email to correct it.</t>
  </si>
  <si>
    <t>Fast in getiing back service.</t>
  </si>
  <si>
    <t>Overall the service specific to our business; they have been extremely helpful and knowledgeable. If there are issues we can rely on the team, they have been there for a long time. I go to Angelo to resolve things quickly and aleviate any risk to our firm - he is my go to guy. We have a great relationship, have been with them for a very long time and hope to continue.</t>
  </si>
  <si>
    <t>settlements</t>
  </si>
  <si>
    <t>borrowing and lending</t>
  </si>
  <si>
    <t>the accounting group</t>
  </si>
  <si>
    <t>More communication when their systems are down, when their are technical issues.</t>
  </si>
  <si>
    <t>Not current with available competitor technology.</t>
  </si>
  <si>
    <t>Timing.</t>
  </si>
  <si>
    <t>Staffing &amp; resources; Responsiveness &amp; turnaround; Knowledge, accuracy &amp; consistency; People, relationships &amp; professionalism</t>
  </si>
  <si>
    <t>Terrible turn around timing. Lack of knowledge of their team in our business. Continual staff turnover.</t>
  </si>
  <si>
    <t>Pricing &amp; fees; Client service &amp; support (general)</t>
  </si>
  <si>
    <t>Dissatisfied with the services provided for the price.</t>
  </si>
  <si>
    <t>The reporting piece.</t>
  </si>
  <si>
    <t>Modernized system ability.</t>
  </si>
  <si>
    <t>They need to reduce fees.</t>
  </si>
  <si>
    <t>Stronger consistent customer service.</t>
  </si>
  <si>
    <t>Pricing &amp; fees; Product breadth &amp; offering; Client service &amp; support (general)</t>
  </si>
  <si>
    <t>Great service but expensive custodial fees and transaction fees.</t>
  </si>
  <si>
    <t>Great technology.</t>
  </si>
  <si>
    <t>Excellent customer service.</t>
  </si>
  <si>
    <t>Excellent customer communication.</t>
  </si>
  <si>
    <t>Focus on improving technology.</t>
  </si>
  <si>
    <t>Consolidating technological platforms.</t>
  </si>
  <si>
    <t>There is often a back log on the estates and it creates extra time. It can be difficult to get straight answer from estates.</t>
  </si>
  <si>
    <t>I dont have experience with other custodians so I cant compare. However, I have seen a lot of progress and improvement in the last 5 years.</t>
  </si>
  <si>
    <t>They employ a lot of people that have expert knowledge in the field.</t>
  </si>
  <si>
    <t>A desire to improve based on customer feed back</t>
  </si>
  <si>
    <t>A desire to improve platforms such as Compass and Onboarding</t>
  </si>
  <si>
    <t>Sticking with a standard service turn around time to ensure all employees are responding to emails in that time.</t>
  </si>
  <si>
    <t>Onboarding &amp; account administration; Responsiveness &amp; turnaround; Communication &amp; proactivity</t>
  </si>
  <si>
    <t>Do a better job doing quick updates. For example, there is one for Onboarding for FHSA's that we have been waiting for one and half years.</t>
  </si>
  <si>
    <t>Employees not reading entire email and responding. It creates a lot of back and forth</t>
  </si>
  <si>
    <t>Technology &amp; platform integration; Responsiveness &amp; turnaround; Competitive position &amp; alternatives; Product breadth &amp; offering; Client service &amp; support (general)</t>
  </si>
  <si>
    <t>They are faster and more responsive to inquires and emails. They are more organized. We have another custodian rolling out new portal - it took a couple of months and was frustrating</t>
  </si>
  <si>
    <t>Any issues or hiccups we have, they are responsive and communicative. They put things out and are proactive.</t>
  </si>
  <si>
    <t>committment</t>
  </si>
  <si>
    <t>willingness to do better</t>
  </si>
  <si>
    <t>The teams generic email. I do like to triage to. I prefer to have a dedicated person.</t>
  </si>
  <si>
    <t>Knowledge, accuracy &amp; consistency; Competitive position &amp; alternatives; Leadership, brand &amp; scale; Client service &amp; support (general)</t>
  </si>
  <si>
    <t>I'm happy with NBIN but do feel like they are taking away services rather than the services they have historically provided. It is going to wrong direction. There is not a lot of competition and that is part of the problem. Not being able to write 3rd party cheques has a loss.</t>
  </si>
  <si>
    <t>That they exist in the first palace to allow small independant brokers access to a back office.</t>
  </si>
  <si>
    <t>Transfers; Reporting, statements &amp; data</t>
  </si>
  <si>
    <t>ca fait plus qu'un an que le monsieur est decede et les comptes ne sont pas transferes a sa conjointe et il recoit encore des declarations dimpot a faire</t>
  </si>
  <si>
    <t>une fois sur deux j'ai de la misere avec les transfers- des qu'il y a un pronbleme j'ai de la misere avoir de l'aide</t>
  </si>
  <si>
    <t>Souvent je fait une requete pour l'aide on me revient avec quelque chose de generique - et je cours apres pendant des des mois et  en plus rien n'a ete fait et le client n'est pas satisfait .</t>
  </si>
  <si>
    <t>C'est lourd d'un point de vue administratif</t>
  </si>
  <si>
    <t>Certains staff sont tres bons et si on peut mettre la main  decu ca va tres bien</t>
  </si>
  <si>
    <t>non</t>
  </si>
  <si>
    <t>S'assurer que le probleme du client est regler-une personne par suivi</t>
  </si>
  <si>
    <t>Responsiveness &amp; turnaround; Product breadth &amp; offering; People, relationships &amp; professionalism; Client service &amp; support (general)</t>
  </si>
  <si>
    <t>NBIN is a critical partner in our relationship working together for our clients. They provide smooth and efficient custodial services in doing so. From Patrick as president and on down, the entire NBIN team has a culture of excellence, and they're a pleasure to work with.</t>
  </si>
  <si>
    <t>Culture</t>
  </si>
  <si>
    <t>Teamwork</t>
  </si>
  <si>
    <t>Attitude</t>
  </si>
  <si>
    <t>Ongoing training of new team members.</t>
  </si>
  <si>
    <t>Reporting, statements &amp; data; Technology &amp; platform integration; Knowledge, accuracy &amp; consistency</t>
  </si>
  <si>
    <t>It was brought to our attention that the online reporting was inaccurate. This was directly from the clients not NBIN. I would think that if things were working properly, there would be some type of disclaimer on NBIN web site that alerts clients to inaccuracies or potential problems.</t>
  </si>
  <si>
    <t>Regarding the entire package we are very pleased with the work done at NBIN.</t>
  </si>
  <si>
    <t>A sense of partnership in servicing clients.</t>
  </si>
  <si>
    <t>We have had a lengthly relationship with the team which is important.</t>
  </si>
  <si>
    <t>There is a good flow of information at senior levels.</t>
  </si>
  <si>
    <t>On the banking side there is an opportunity to assit firms in intergeneral transitioning.</t>
  </si>
  <si>
    <t>Responsiveness &amp; turnaround; Competitive position &amp; alternatives; Product breadth &amp; offering; Client service &amp; support (general)</t>
  </si>
  <si>
    <t>Given that other custodians are pitching themselves as a viable alternative, it would be good to understand how NBIN is positioning themselves to service firms like ours in the medium to long run.</t>
  </si>
  <si>
    <t>If you have the right type of client and the  services fit the clients needs then yes</t>
  </si>
  <si>
    <t>Its specifically delays related to what's called the revoke and appoint process and clients are invested in pool funds at the previous.investment firm</t>
  </si>
  <si>
    <t>They're the larges in Canada. They have the expertise and experience to do the business.</t>
  </si>
  <si>
    <t>Size and scale.</t>
  </si>
  <si>
    <t>Nothing comes to mind.</t>
  </si>
  <si>
    <t>Transfers; Technology &amp; platform integration; Responsiveness &amp; turnaround</t>
  </si>
  <si>
    <t>It was a transfer out, and it was extremely slow. I found it to be unacceptable for how slow it was, since I thought it was supposed to be done through an automated system.</t>
  </si>
  <si>
    <t>They're the only custodian we have had experience with. In terms of having an overall package, they do a fairly good job. I would certainly suggest them to others, but it is the client's job to do due diligence to end up using them or not.</t>
  </si>
  <si>
    <t>Their overall solutions as a whole package.</t>
  </si>
  <si>
    <t>Their client portal.</t>
  </si>
  <si>
    <t>Their onboarding process for new clients.</t>
  </si>
  <si>
    <t>Reporting, statements &amp; data; Knowledge, accuracy &amp; consistency</t>
  </si>
  <si>
    <t>At the security level, their software has a bad habit of going out of balance. It's almost as though I can't rely on their statements for accurate numbers and records that I could then give to clients. It's the book value over time that can change.</t>
  </si>
  <si>
    <t>Reporting, statements &amp; data; Knowledge, accuracy &amp; consistency; Communication &amp; proactivity</t>
  </si>
  <si>
    <t>The incorrect value will still appear on the tax slip, and will not get updated, which is a major issue as it causes confusion for our clients, and it can also lead to CRA audits.</t>
  </si>
  <si>
    <t>Reporting, statements &amp; data; People, relationships &amp; professionalism</t>
  </si>
  <si>
    <t>I don't even know who to escalate this issue to, as NBIN has told us in the past that there's nothing that they can do about the tax slips.</t>
  </si>
  <si>
    <t>In the past 6-12 months accuracy has gone up but delays  in response time remain an issue. I get the impression that they are severely understaffed.</t>
  </si>
  <si>
    <t>Transfers; Responsiveness &amp; turnaround; Knowledge, accuracy &amp; consistency; Training &amp; education; People, relationships &amp; professionalism</t>
  </si>
  <si>
    <t>Delays in response time from the transfer team. There are scheduled follow ups and we have to follow to find out why they were not completed. This results in back and forth. Also getting accurate information.</t>
  </si>
  <si>
    <t>Service model &amp; restructuring; Responsiveness &amp; turnaround; Knowledge, accuracy &amp; consistency; Training &amp; education; Communication &amp; proactivity; People, relationships &amp; professionalism</t>
  </si>
  <si>
    <t>The recent move to a specialist team model, the teams lacking in every specialty area. They are severely understaff to the point where it has taken 3 days to get a response. They have undertrained staff also issues with the accuracy of information. I have notice this since March.</t>
  </si>
  <si>
    <t>The specialty teams, day to day back office support is not where we need it to be.</t>
  </si>
  <si>
    <t>The responsiveness of senior leadership.</t>
  </si>
  <si>
    <t>market share</t>
  </si>
  <si>
    <t>desire to improve</t>
  </si>
  <si>
    <t>Serious hiring and training</t>
  </si>
  <si>
    <t>Take the feedback - like this to heart on how they execute on improvements</t>
  </si>
  <si>
    <t>The response time is way too long, there is no follow up and no urgency at all.</t>
  </si>
  <si>
    <t>In our opinion, customer service is going down. We are entrench with NBIN but there might be alternatives out there where service levels are higher.</t>
  </si>
  <si>
    <t>electronic access</t>
  </si>
  <si>
    <t>Our account manager; Paulo Demarco. He has been fantastic and is the main reason we have are very happy.</t>
  </si>
  <si>
    <t>Access to the account reresentative by phone.</t>
  </si>
  <si>
    <t>Follow up on requests.</t>
  </si>
  <si>
    <t>Estates &amp; settlements; People, relationships &amp; professionalism; Client service &amp; support (general)</t>
  </si>
  <si>
    <t>It has gotten better and that is why it is a 6. I dont think they are still coming to the party and  can still do a better job. There are a lot of new people and I  dont know if everybody is at same level. Not just talking about client services but everybody. Because they had issues with fraud, the estate department has really gone down hill. It is the clients money  cant do this and that and putting up road blocks. They have a different levels of people with different competency. If I get a competent person I know it will be done right. If it someone different, I don't know. People are coming to work but not showing up.</t>
  </si>
  <si>
    <t>Because I am confident they will get it at some point.</t>
  </si>
  <si>
    <t>Their long term employees.</t>
  </si>
  <si>
    <t>Do the job. People coming in, need to show up to do the work not just come in.</t>
  </si>
  <si>
    <t>I've worked with NBIN for 20 yrs and had other experiences with other brokers and NBIN is the best</t>
  </si>
  <si>
    <t>easy to get along with</t>
  </si>
  <si>
    <t>project management could be  a little bit faster - timeliness of their projects</t>
  </si>
  <si>
    <t>adopting to institutional business</t>
  </si>
  <si>
    <t>The user interface is easy use.</t>
  </si>
  <si>
    <t>We had an account where were to receive cash only. NBIN accepted securities as well as cash. The old broker accepted the security and put the onus on us to fix the problem. This caused alot of problems.</t>
  </si>
  <si>
    <t>We have had a good experience but is not perfect. I dont know about the other competitors.</t>
  </si>
  <si>
    <t>Technology services</t>
  </si>
  <si>
    <t>The management team</t>
  </si>
  <si>
    <t>The trading platform</t>
  </si>
  <si>
    <t>The day to day customer service</t>
  </si>
  <si>
    <t>Less downtime in technology services.</t>
  </si>
  <si>
    <t>Ease of use. Professionalism and friendliness of staff. The variety of services available.</t>
  </si>
  <si>
    <t>Quality of offering</t>
  </si>
  <si>
    <t>Number of services available</t>
  </si>
  <si>
    <t>Professional, friendly, and helpful staff. And ease of use.</t>
  </si>
  <si>
    <t>Responsiveness &amp; turnaround; Training &amp; education; People, relationships &amp; professionalism; Leadership, brand &amp; scale</t>
  </si>
  <si>
    <t>More training, and consistent responses from the account management team.</t>
  </si>
  <si>
    <t>An enhanced process for feedback and timelines for submitted requests.</t>
  </si>
  <si>
    <t>Trading &amp; market access; Technology &amp; platform integration; Competitive position &amp; alternatives</t>
  </si>
  <si>
    <t>They are softer and outdate compared to the competition. Their bulk trading is manual rather than automated.</t>
  </si>
  <si>
    <t>Nearly not as much investment in their technology compared to our U.S. custodians.</t>
  </si>
  <si>
    <t>Lack of access to the people doing the transactions. We have to go through a 3rd party and they can make mistakes or provide the wrong information.</t>
  </si>
  <si>
    <t>It is not integral to our business so I just rated it as average.</t>
  </si>
  <si>
    <t>NBIN suits our needs for the niche market we are in. They do an OK job but nothing impressive.</t>
  </si>
  <si>
    <t>brand recognition.</t>
  </si>
  <si>
    <t>U.S. dollar access.</t>
  </si>
  <si>
    <t>Our representative does a good job when we need to communicate for more sophistocated  issues.</t>
  </si>
  <si>
    <t>A more clear transfer process.</t>
  </si>
  <si>
    <t>A better trading platform.</t>
  </si>
  <si>
    <t>A more dedicated service team.</t>
  </si>
  <si>
    <t>I think that the service I get from my rep is good, they are best of their people. The options they give as well as their desire to be at the  the top of their field and and being willing to serve to us and our clients the best service, this is real.</t>
  </si>
  <si>
    <t>Service.</t>
  </si>
  <si>
    <t>Tech skill.</t>
  </si>
  <si>
    <t>Pricing.</t>
  </si>
  <si>
    <t>A reduction in the amount of errors on the reporting basis.</t>
  </si>
  <si>
    <t>Responsiveness &amp; turnaround; Knowledge, accuracy &amp; consistency; Training &amp; education</t>
  </si>
  <si>
    <t>responsivess time and accuracy of information</t>
  </si>
  <si>
    <t>Estates &amp; settlements; Responsiveness &amp; turnaround; Competitive position &amp; alternatives; Product breadth &amp; offering</t>
  </si>
  <si>
    <t>It's a little bit of a complicated process when it comes to estates. Many back and forth with the reps there and the steps aren't the same as with our other custodian.</t>
  </si>
  <si>
    <t>Pricing &amp; fees; Competitive position &amp; alternatives; Product breadth &amp; offering</t>
  </si>
  <si>
    <t>With what we use NBINfor it does meets the needs of our clients. The fee structure is a little higher with NBIN than our other custodian. Considering what our client is looking for- we would or would not recommend them depending on what they are looking for.</t>
  </si>
  <si>
    <t>system simplicity</t>
  </si>
  <si>
    <t>over all  good service</t>
  </si>
  <si>
    <t>Their fee structure could  deter us from using NBIN for certain clients</t>
  </si>
  <si>
    <t>Antiquated technology -  slow and hard to learn</t>
  </si>
  <si>
    <t>Pricing &amp; fees; Technology &amp; platform integration</t>
  </si>
  <si>
    <t>costs plus antiquated technology</t>
  </si>
  <si>
    <t>promptness in getting back to you</t>
  </si>
  <si>
    <t>willingness to look into a problem and do the research</t>
  </si>
  <si>
    <t>willingness to promote their clients</t>
  </si>
  <si>
    <t>cost reduction</t>
  </si>
  <si>
    <t>Pricing &amp; fees; Technology &amp; platform integration; People, relationships &amp; professionalism</t>
  </si>
  <si>
    <t>Better partnerships with outside technology partners in terms of cost and access to more partners</t>
  </si>
  <si>
    <t>We are currently using 2 versions of Compass, the legacy and new. Their trading platform is archaic. Overall their self serve model for advisor is clunky.</t>
  </si>
  <si>
    <t>Lack of information available. Delays. Incorrect information provided.</t>
  </si>
  <si>
    <t>User access set up; we have to send emails to clients and provide temporary passwords. When they are locked out they have to call a service desk. The service model is not well defined.</t>
  </si>
  <si>
    <t>They are one of the larger providers for the model we use and they have scale.</t>
  </si>
  <si>
    <t>They are a major player in institutional/broker space.</t>
  </si>
  <si>
    <t>Their people. The senior leaders are knowledgable.</t>
  </si>
  <si>
    <t>They have the funds to advance the technology; roadmap.</t>
  </si>
  <si>
    <t>Consistency in day to day process.</t>
  </si>
  <si>
    <t>Move faster in availability for data.</t>
  </si>
  <si>
    <t>Advance technology.</t>
  </si>
  <si>
    <t>Transfers; Pricing &amp; fees; Technology &amp; platform integration</t>
  </si>
  <si>
    <t>I have had issues where some of the transfers I initiated were rejected. I did not receive notification that they were rejected or why. Sometimes  the funds get sent back without notification and the account gets overdrawn. I suspect this has something to do with fees. The cash sweeps not automatically  done at the end of the month so there is a struggle to get in the residual payments.</t>
  </si>
  <si>
    <t>The response time is really slow. Sometimes I get a response that  tells me that I contacted wrong group and my email has not been forwarded. Sometime I get an acknowledgement of my message but then there is no follow-up. No one picks up the phone. There is no way of getting ahold of anyone there.</t>
  </si>
  <si>
    <t>The ting I like about NBIN is that we are able to process things on our own using servicing. What I dont like and struggle with is the client servicing aspect.</t>
  </si>
  <si>
    <t>There have been mistakes where a client contacted NBIN instead of going through their investment manager and  NBIN has been quick to let us know.</t>
  </si>
  <si>
    <t>When I havent been getting answers from a team and I have contacted the higher ups, they have been quick to respond and and find a solution.</t>
  </si>
  <si>
    <t>We use digit and it is integrated with NBIN and we get flow daily and that is helpful.</t>
  </si>
  <si>
    <t>Have enough employees properly trained to increase supply and service level.</t>
  </si>
  <si>
    <t>The disection of different groups vrs the one group email we previously had has made things difficult. Prefer other/old way</t>
  </si>
  <si>
    <t>They are very good and prompt on transfers, things work well when it is a straight forward. But anything other than the basics, anything requiring thought or is not on their check list, it all fall off the rails.</t>
  </si>
  <si>
    <t>The senior people are very good and knowledgable in what they are doing. They try to help with your needs and are  generally competent.</t>
  </si>
  <si>
    <t>They need to work a little bit on developing skills on handling non ordinary requests. Anybody can do the easy stuff. They need to be able to deal with ad hoc situations.</t>
  </si>
  <si>
    <t>Their turn around time for requests has gotten slower.</t>
  </si>
  <si>
    <t>The reason being its just comprehensive of service, there is depth of knowledge and I know they can it done, they can meet most workers needs.</t>
  </si>
  <si>
    <t>They're a Canadian Bank, backed by a robust institution bank.</t>
  </si>
  <si>
    <t>Lots of knowledge and experience.</t>
  </si>
  <si>
    <t>Limited to improving they're service.</t>
  </si>
  <si>
    <t>Their responsiveness to service inquiries.</t>
  </si>
  <si>
    <t>Technology &amp; platform integration; Product breadth &amp; offering; People, relationships &amp; professionalism</t>
  </si>
  <si>
    <t>They offer a great system. It is more client friendly and more user friendly.</t>
  </si>
  <si>
    <t>Estates &amp; settlements; Reporting, statements &amp; data; Responsiveness &amp; turnaround; Knowledge, accuracy &amp; consistency; Training &amp; education; Communication &amp; proactivity; People, relationships &amp; professionalism; Client service &amp; support (general)</t>
  </si>
  <si>
    <t>There have been prolonged delays and morefiles not updated causing distress when the estate not settled on time. The tax team have not been helpful for the estate. Recently they have not been accurate on how they use or provide information.</t>
  </si>
  <si>
    <t>Overall we have had a good experience over the years but  recently there have been a lot of issues. The teams have not been up to speed and there have been a lot of delay on various ends.</t>
  </si>
  <si>
    <t>good systems, user friendly</t>
  </si>
  <si>
    <t>Teams for senior managers on all teams have been really helpful and great.</t>
  </si>
  <si>
    <t>They think about what is best for client, which is a good strategy.</t>
  </si>
  <si>
    <t>The service model. The specialty teams are not great. Their answers are not focused on what the question is about and are more generalized.</t>
  </si>
  <si>
    <t>The systems have had a lot of downtime.</t>
  </si>
  <si>
    <t>The delays on teams, there have been a lot of delays. The change in service agreements make it difficult to set expectations for our clients.</t>
  </si>
  <si>
    <t>Trading &amp; market access; Responsiveness &amp; turnaround; People, relationships &amp; professionalism</t>
  </si>
  <si>
    <t>I mostly deal with the trading team, and I don't have anything negative to say about them. They answer my question and resolve my issue quickly.</t>
  </si>
  <si>
    <t>The platforms are usually user-friendly.</t>
  </si>
  <si>
    <t>The service with the trading team is always simple.</t>
  </si>
  <si>
    <t>NBIN's general services are really efficient.</t>
  </si>
  <si>
    <t>They could always try to get their platform to be better.</t>
  </si>
  <si>
    <t>Increase their workforce on the administration side.</t>
  </si>
  <si>
    <t>One was a delay in a transfer between two client accounts and the second Ex: comes to mind.... problems bringing in a large amount of money into a client account.</t>
  </si>
  <si>
    <t>I would say they're reputable, well known and do act professional.</t>
  </si>
  <si>
    <t>I like there place in the market.  Ex: they're not a Royal Bank</t>
  </si>
  <si>
    <t>They do act very professional in carrying out our wishes/goals.</t>
  </si>
  <si>
    <t>They're reputable, well known.</t>
  </si>
  <si>
    <t>They need some sort of a short term competitive investment to bring in funds in large dollar accounts.</t>
  </si>
  <si>
    <t>Have a better offering in the high network client category.</t>
  </si>
  <si>
    <t>Trading &amp; market access; Competitive position &amp; alternatives; Client service &amp; support (general)</t>
  </si>
  <si>
    <t>Continue to be competitive in the bond department.</t>
  </si>
  <si>
    <t>I'm not sure who else is out there. So far the services provided by NBIN have been good.</t>
  </si>
  <si>
    <t>When ever I have a question they try to direct to the right department or individual to get an answer.</t>
  </si>
  <si>
    <t>They are able to populate and generate more responses that are better and more detailed.</t>
  </si>
  <si>
    <t>Lack of clarity, the amount of time it takes and lack of communication.</t>
  </si>
  <si>
    <t>Cost of the custodian services. The costs that are embedded for our clients is start to add up. Having to reimburse our clients is a lot of work. We are starting to look someone that don't penny and dime us would be ideal. Consistency. I have spoken to other firms and asked for their cost breakdown and it varies. Everything is negotiated. It is is frustrating.</t>
  </si>
  <si>
    <t>More consistency</t>
  </si>
  <si>
    <t>The fees keep going up and PM's have to do more of the administrative work. We are paying more and doing more administrative work and we get less value.</t>
  </si>
  <si>
    <t>Service model &amp; restructuring; Technology &amp; platform integration; Competitive position &amp; alternatives; Product breadth &amp; offering; Client service &amp; support (general)</t>
  </si>
  <si>
    <t>If I have an issue with NBIN, I have a phone number where I can call someone. With other custodians, I have to make an online request if I have an issue. Since NBIN has migrated to a new structure with specialist teams, I found that this has been faster, and this has been a service improvement for me.</t>
  </si>
  <si>
    <t>Technology &amp; platform integration; Responsiveness &amp; turnaround; People, relationships &amp; professionalism; Leadership, brand &amp; scale; Client service &amp; support (general)</t>
  </si>
  <si>
    <t>For NBIN, I have a contact name. That human interface makes a difference I have found. This makes the service experience better, and there's a higher expectation for getting back to me quicker, as we both know each other's names. The personal touch.</t>
  </si>
  <si>
    <t>The response time. When I call, I get a fairly quick response time.</t>
  </si>
  <si>
    <t>They have good knowledge, as they give the correct answer the first time.</t>
  </si>
  <si>
    <t>The professionalism of how they give fairly correct and accurate answers.</t>
  </si>
  <si>
    <t>If their system could be changed, so that I don't have to call after sending an email to follow up on that matter. If matters that are sent by email could be acted on without having to call at a later time.</t>
  </si>
  <si>
    <t>They are thorough approchable professional and available</t>
  </si>
  <si>
    <t>Response time</t>
  </si>
  <si>
    <t>Clarity of responses</t>
  </si>
  <si>
    <t>Abiliity to send you to another department that can help you better</t>
  </si>
  <si>
    <t>We are dealing with a difficult issue where the children of woman suffering from dementia are trying to get her estate paid out before she is deceased to deal with probate taxes. It turns out that this is illegal. We were frustrated by NBIN refusal without explanation. If they had explained the reason for the rejection it would have been much easier for us. Eventually we used the internet and Ai to find out that it was illegal.</t>
  </si>
  <si>
    <t>NBIN is better for smaller clients. RBC or Fidelity or established trust related firms are better for larger clients e.g. pension funds. RBC's fees are too high smaller clients.</t>
  </si>
  <si>
    <t>Their ability to deal with smaller accounts and their flexibility on that.</t>
  </si>
  <si>
    <t>Generally they do try to work with us pretty nicely.</t>
  </si>
  <si>
    <t>Competitive position &amp; alternatives; Product breadth &amp; offering; Client service &amp; support (general)</t>
  </si>
  <si>
    <t>Try to be competitive with services that larger clients expect. Being a true trust company activity.</t>
  </si>
  <si>
    <t>The turn around time for answers to our questions is slow.  Getting correct answers is difficult. Having to resubmit documents numerous times is frustrating.</t>
  </si>
  <si>
    <t>I would recommend comparison to other firms as NBIN is competitively priced. However over the last 2 years service has diminished as has the level of service quality.</t>
  </si>
  <si>
    <t>They are competitively priced.</t>
  </si>
  <si>
    <t>Their trading platform and tools.</t>
  </si>
  <si>
    <t>Client servicing</t>
  </si>
  <si>
    <t>Responsiveness &amp; turnaround; Competitive position &amp; alternatives; People, relationships &amp; professionalism</t>
  </si>
  <si>
    <t>Fidelity does not have the relationship manager set up  so that if problems occur it take 2-3 time longer to solve than with NBIN</t>
  </si>
  <si>
    <t>Reporting, statements &amp; data; Onboarding &amp; account administration; Ease of contact &amp; routing; Responsiveness &amp; turnaround; Communication &amp; proactivity; People, relationships &amp; professionalism; Leadership, brand &amp; scale; Client service &amp; support (general)</t>
  </si>
  <si>
    <t>For indepdant portfolio managers, National Bank is the best out there. For tax reporting NBIN is still behind. They removed Argus which was a great research service. There are issues with T1135's - include them into the tax reporting. The times from when we have to problem to resolving it takes 2-3 days. New client approvals and document updates are taking 48 hours to get done. Elimination of PM west where we had faster response to issues is not good. We are dealing more junior employees and coordinators than in the past and it has slowed down results. Everything is slow and can take 2 days to get a response. Any new account client updates take 48 hours.</t>
  </si>
  <si>
    <t>The ability for me to talk to a relationship manager or someone else directly to get problems resolved.</t>
  </si>
  <si>
    <t>It is a bank and recognizable. There is no hesitency on the part of client.</t>
  </si>
  <si>
    <t>Technology &amp; platform integration; Knowledge, accuracy &amp; consistency</t>
  </si>
  <si>
    <t>It is a workable system to get things done. My knowledge of how to make things happen is the glue.</t>
  </si>
  <si>
    <t>Add T1135 into tax reporting</t>
  </si>
  <si>
    <t>Faster response and turn around times</t>
  </si>
  <si>
    <t>The Relationship Manager has to focus of trying to look at things from my perspective - to solve problems - my problems</t>
  </si>
  <si>
    <t>Competitive position &amp; alternatives; People, relationships &amp; professionalism; Client service &amp; support (general)</t>
  </si>
  <si>
    <t>Head and shoulders capability and service level above competitors. Very nice people.</t>
  </si>
  <si>
    <t>Broad capabilities</t>
  </si>
  <si>
    <t>Flexibility</t>
  </si>
  <si>
    <t>friendly serv</t>
  </si>
  <si>
    <t>Cross boarder capabilities</t>
  </si>
  <si>
    <t>Good knowledge technology and responsiveness and experience and support</t>
  </si>
  <si>
    <t>technolgy</t>
  </si>
  <si>
    <t>support</t>
  </si>
  <si>
    <t>knowledge of the independant investment council business</t>
  </si>
  <si>
    <t>Business development support</t>
  </si>
  <si>
    <t>Cash management in client accounts</t>
  </si>
  <si>
    <t>Just haven't had many issues,  no problems so far.</t>
  </si>
  <si>
    <t>Customer Service.</t>
  </si>
  <si>
    <t>Knowledge.</t>
  </si>
  <si>
    <t>The people there, the team.</t>
  </si>
  <si>
    <t>I don't see that much right now. I don't interact that much.</t>
  </si>
  <si>
    <t>They help support our business. They are a good partner to work with.</t>
  </si>
  <si>
    <t>Knowledge of getting back to you on questions and answer correctly.</t>
  </si>
  <si>
    <t>The speed at which they get back to you on results.</t>
  </si>
  <si>
    <t>Improve how the roll out of technology. The Compass roll out has been disjointed and the roll out has not been completed.</t>
  </si>
  <si>
    <t>The initial response time for the service email seems to have slowed down a bit.</t>
  </si>
  <si>
    <t>there's too many  multiple systems and interfaces that we have to use to pull data and it would be much easier if it was consolidated into one online platform</t>
  </si>
  <si>
    <t>Transfers; Responsiveness &amp; turnaround; Communication &amp; proactivity; People, relationships &amp; professionalism</t>
  </si>
  <si>
    <t>this is the same one -it took 2 months to get transfer completed. There was extensive back and forth communication bw my team and nbin team and rbc team - it felt like everytime we would make a little progress the case would get assigned to a new person at nbin and the process would start  all mover again</t>
  </si>
  <si>
    <t>we had a request to tranfer an account from another firm and it took almost 2 months to complete and it was not a good experience</t>
  </si>
  <si>
    <t>not very robust and the functionality of the online platforms is not great</t>
  </si>
  <si>
    <t>nbin is our prefered provider while we have had issues we still prefer to work them</t>
  </si>
  <si>
    <t>the ability to work with independant advisors</t>
  </si>
  <si>
    <t>trading capabilities are good</t>
  </si>
  <si>
    <t>their willingness to engage with independant firms like ours sets them apart as well</t>
  </si>
  <si>
    <t>their support team structure could be improved</t>
  </si>
  <si>
    <t>response time could be improved</t>
  </si>
  <si>
    <t>online technolgy platform could be improved</t>
  </si>
  <si>
    <t>Pricing &amp; fees; Product breadth &amp; offering; People, relationships &amp; professionalism; Client service &amp; support (general)</t>
  </si>
  <si>
    <t>We have not used them substantially. It would be a cost benefit analysis. They have been very helpful but the cost was high when we looked into it to change our offering.</t>
  </si>
  <si>
    <t>partership</t>
  </si>
  <si>
    <t>relationship management</t>
  </si>
  <si>
    <t>scalability</t>
  </si>
  <si>
    <t>responsiveness at a relationship manager level</t>
  </si>
  <si>
    <t>The roll over of customer service was tricky with other line of business. Getting support was tricky.</t>
  </si>
  <si>
    <t>Technology &amp; platform integration; Staffing &amp; resources; Leadership, brand &amp; scale</t>
  </si>
  <si>
    <t>Resources and scale of NBIN and the technology package.</t>
  </si>
  <si>
    <t>The brand</t>
  </si>
  <si>
    <t>The scale of the organization</t>
  </si>
  <si>
    <t>Its people</t>
  </si>
  <si>
    <t>Bring about an electronic bond trading platform.</t>
  </si>
  <si>
    <t>Assigning a specific service representative to a firm rather than departments.</t>
  </si>
  <si>
    <t>Modernize the equity trading platform</t>
  </si>
  <si>
    <t>Knowledge, accuracy &amp; consistency; Product breadth &amp; offering; People, relationships &amp; professionalism; Leadership, brand &amp; scale; Client service &amp; support (general)</t>
  </si>
  <si>
    <t>We have had almost 2 decade relationship with NBIN. We appreciate their service and their expertise in the industry of prime brokerage funds. Their experience in helping us manage funds. Their experience in custody of our funds to help preform services for our client with the funds.</t>
  </si>
  <si>
    <t>expertise</t>
  </si>
  <si>
    <t>client servicing</t>
  </si>
  <si>
    <t>move the survey to something web based</t>
  </si>
  <si>
    <t>Trading &amp; market access; Technology &amp; platform integration; Training &amp; education</t>
  </si>
  <si>
    <t>Their technology is outdated. There is a lack of readily available information to compute equity trades.</t>
  </si>
  <si>
    <t>Transfers; Technology &amp; platform integration; Responsiveness &amp; turnaround; Communication &amp; proactivity; Competitive position &amp; alternatives; Product breadth &amp; offering</t>
  </si>
  <si>
    <t>Their technology is outdated. While there is some new update electronic offerings, the old system and new system dont flow that well together. There should be a better way to understand the transfer process from other custodians. Different systems give different status responses. One part says it is denied while the other part says it is pending.</t>
  </si>
  <si>
    <t>NBIN does good job preforming its core function as custodian but its technology is behind that of their competitors.</t>
  </si>
  <si>
    <t>Technology &amp; platform integration; People, relationships &amp; professionalism; Leadership, brand &amp; scale</t>
  </si>
  <si>
    <t>Its relationship with the National Bank of Canada related to it being a systemically important bank.</t>
  </si>
  <si>
    <t>Their ability to leverage other groups across National Bank.</t>
  </si>
  <si>
    <t>Scale</t>
  </si>
  <si>
    <t>Technology offering</t>
  </si>
  <si>
    <t>Incremental service support</t>
  </si>
  <si>
    <t>For our type of business, which is as a introducing broker and not a fund manager, NBIN is less reliable today than they were two years ago. Their business model is shifting away from specific services for introducing brokers and any recommendation I would be giving to a brokerage like ours would be effected by their shift away from our type of business as a core NBIN focus.</t>
  </si>
  <si>
    <t>Their balance sheet.</t>
  </si>
  <si>
    <t>Providing more experienced points of contact for specific needs.</t>
  </si>
  <si>
    <t>Improving their responsiveness.</t>
  </si>
  <si>
    <t>More proactive in supporting their introducing broker network.</t>
  </si>
  <si>
    <t>Technology &amp; platform integration; Staffing &amp; resources; People, relationships &amp; professionalism</t>
  </si>
  <si>
    <t>They understand the business. They have systems in place. They have the experience and resources. They care.</t>
  </si>
  <si>
    <t>Experience.</t>
  </si>
  <si>
    <t>Depth of knowledge in the industry.</t>
  </si>
  <si>
    <t>They care in serving us and our clients.</t>
  </si>
  <si>
    <t>I'd like to have better clarity on consolidating trading for our firm via NBIN.</t>
  </si>
  <si>
    <t>Estates &amp; settlements; Reporting, statements &amp; data; Responsiveness &amp; turnaround; Communication &amp; proactivity</t>
  </si>
  <si>
    <t>A more effective response they have confirmed a new task to execute. For example, if we are messaging estates on a request, estates is coming back saying they received the notice and they will get back to us in 24 to 48 hours or something like that.</t>
  </si>
  <si>
    <t>The whole Compass NetRep could be a little bit better, systems access. System singularity.</t>
  </si>
  <si>
    <t>Estates &amp; settlements; Technology &amp; platform integration; Communication &amp; proactivity; People, relationships &amp; professionalism; Client service &amp; support (general)</t>
  </si>
  <si>
    <t>We've had some difficulty with the estate team on communication and service levels  and the portal we use is not user friendly to us and the expectations are not clear - there's not a lot clarity.</t>
  </si>
  <si>
    <t>Estates &amp; settlements; Trading &amp; market access; Onboarding &amp; account administration; Product breadth &amp; offering; People, relationships &amp; professionalism; Client service &amp; support (general)</t>
  </si>
  <si>
    <t>Their IT infrastucture is good and custody services is good  and the staff is knowleable and they are vey informative but the difficiencies are Estate and Trading service as well as  some on onboarding but overall they are very good</t>
  </si>
  <si>
    <t>Product breadth &amp; offering; Leadership, brand &amp; scale; Client service &amp; support (general)</t>
  </si>
  <si>
    <t>They are  the industry leader in custody services</t>
  </si>
  <si>
    <t>They do boast a competant  and knowledgeable staff</t>
  </si>
  <si>
    <t>Their IT network overall is pretty good</t>
  </si>
  <si>
    <t>estate processing</t>
  </si>
  <si>
    <t>better transparency or assistance with specific items - which they do address now with specific silos</t>
  </si>
  <si>
    <t>consistancy and accuracy of info from support team</t>
  </si>
  <si>
    <t>There's allot of pain points in the transfer process. We understand its because were dealing with cross border transfers. Delays upwards of two to three months for a five million dollar transfer is just not acceptable. We were able to figure out what happened before NBIN did and it stands out, and a lot of money. The follow up process that NBIN has....ex: They just have as soon as you log a task, it will say plus six days or whatever it is. It doesn't feel like there is any ownership on NBINs part that they are owning the task and making sure that it happens.</t>
  </si>
  <si>
    <t>On the Canadian side on the exclusively side on how we interact with NBIN, but if the firm is looking for cross border, NBIN is not as cross border friendly as they have put themselves out to be. Were a minority of the market, I get it, that's why.</t>
  </si>
  <si>
    <t>Escalation ability.</t>
  </si>
  <si>
    <t>The technology platform- really allows advisors to do everything for the clients.</t>
  </si>
  <si>
    <t>Transfers; Communication &amp; proactivity; People, relationships &amp; professionalism</t>
  </si>
  <si>
    <t>Direct communication with transfers team.</t>
  </si>
  <si>
    <t>More comprehensive training of staff who are on the emails or phone lines so that we don't need to make the same call three times to validate the information we received.</t>
  </si>
  <si>
    <t>Transfers; Onboarding &amp; account administration; Technology &amp; platform integration; Client service &amp; support (general)</t>
  </si>
  <si>
    <t>Updating the onboarding forms to be consistent to what is and is not automated in the onboarding and transfer service.</t>
  </si>
  <si>
    <t>The book of record has book value issues. The coding between Legacy-Compass and LegacyX is inconsistent impacting my processes. There are issues with access where it is inconsistent with users at my firm. CompassX is built in way that does reflect legacy transactions easily - I have to look in two systems for instructions.</t>
  </si>
  <si>
    <t>Detailed in previous answer but summary of reasons are: inconsistencies, access and book value.</t>
  </si>
  <si>
    <t>Transfers; Reporting, statements &amp; data; Knowledge, accuracy &amp; consistency; People, relationships &amp; professionalism</t>
  </si>
  <si>
    <t>Their transfer team incorrectly interpreted instructions leading to potential hundreds of thousands in gains and having a tax impact on my client.</t>
  </si>
  <si>
    <t>Knowledge, accuracy &amp; consistency; Training &amp; education</t>
  </si>
  <si>
    <t>They incorrectly coded information leading to errors and a bad experience. We need accuracy the first time.</t>
  </si>
  <si>
    <t>Reporting, statements &amp; data; Responsiveness &amp; turnaround; Knowledge, accuracy &amp; consistency; Training &amp; education; Communication &amp; proactivity; Product breadth &amp; offering</t>
  </si>
  <si>
    <t>Incorrect information, delays in communication and incorrect answers. The are beaurocratic and it takes a long time to get a simple answer. An example was when we submitted a request to two custodians. One got back to us in one hours while it took NBIN four days - even though I gave them the all the information citing the tax act.</t>
  </si>
  <si>
    <t>The relation manager</t>
  </si>
  <si>
    <t>Respond to communication. Response to our email in time and pick up phone when we call.</t>
  </si>
  <si>
    <t>Be less beaurocratic - i.e. solve problems quicker.</t>
  </si>
  <si>
    <t>Take ownership of technology gaps</t>
  </si>
  <si>
    <t>Trading &amp; market access; Technology &amp; platform integration; Competitive position &amp; alternatives; Product breadth &amp; offering; Client service &amp; support (general)</t>
  </si>
  <si>
    <t>More comprehensive online systems. Able to process more transactions through NBIN than other custodians. By transactions, I don't mean trading I mean client service transactions.</t>
  </si>
  <si>
    <t>Transfers; Technology &amp; platform integration; Responsiveness &amp; turnaround; Training &amp; education</t>
  </si>
  <si>
    <t>Extreme delays in responsiveness. Taking too long to follow up with the delivering institution and in particular RDSP transfers. Unable to find any information on Compass on whether to follow up. Email responses are very slow. Having to follow up on my end with the delivering institution.</t>
  </si>
  <si>
    <t>Extreme delays in response. The new chain of command is not effective. Having lost a direct account manager has been a real issue. Escalation managers have not been responsive in a timely manner.</t>
  </si>
  <si>
    <t>Over the last year the reorganization on the client services, removing direct account managers and setting up the new system has not been effective. It has created extreme delays and very poor response times. No ability to escalate directly with an individual.</t>
  </si>
  <si>
    <t>Their focus on improving technology.</t>
  </si>
  <si>
    <t>Figuring out their issues with client servicing. Whatever new system they're using is not working.</t>
  </si>
  <si>
    <t>Bringing back firm specific account managers. Having a human point of escalation, like a phone call way.</t>
  </si>
  <si>
    <t>I think its the different time frames for different files, Responsiveness varies in terms of how long we get responded.</t>
  </si>
  <si>
    <t>Overall service is okay and some tasks take longer than others and sometimes emails get responded to in different timeframe.</t>
  </si>
  <si>
    <t>NBIN is a one stop shop. They cover allot of basis for you and thats important for a portfolio manager and there isn't allot of competition right now.</t>
  </si>
  <si>
    <t>Holistic solution.</t>
  </si>
  <si>
    <t>I would say my relationship manager is very responsive.</t>
  </si>
  <si>
    <t>Canadian bank branded.</t>
  </si>
  <si>
    <t>Customer service responsiveness.</t>
  </si>
  <si>
    <t>Training &amp; education; Leadership, brand &amp; scale</t>
  </si>
  <si>
    <t>Education events or seminars.</t>
  </si>
  <si>
    <t>Pricing &amp; fees; Responsiveness &amp; turnaround</t>
  </si>
  <si>
    <t>Their corespondant network business is a good solution at a reasonable price.</t>
  </si>
  <si>
    <t>Service model &amp; restructuring; Ease of contact &amp; routing; Client service &amp; support (general)</t>
  </si>
  <si>
    <t>Direct access to specialists instead of having to go through a service coordinator.</t>
  </si>
  <si>
    <t>Technology &amp; platform integration; Knowledge, accuracy &amp; consistency; People, relationships &amp; professionalism; Client service &amp; support (general)</t>
  </si>
  <si>
    <t>My experience from other platforms are more easily accessible when needed to be reached. There was more expertise and knowledge when it came to certain issues. They are more client services oriented. Overall, better client service experience.</t>
  </si>
  <si>
    <t>Delayed responses in certain areas. There was a certain review that needed to be done and it took a long time to get a response from the team. There is a lot of back fourth on clarity of documentation. Overall, it took a lot longer than anticipated.</t>
  </si>
  <si>
    <t>Onboarding &amp; account administration; Technology &amp; platform integration; Responsiveness &amp; turnaround; Knowledge, accuracy &amp; consistency; People, relationships &amp; professionalism; Client service &amp; support (general)</t>
  </si>
  <si>
    <t>Inability to get in touch with anyone when you need clarity on a comment they have made to an online upload to onboarding. Knowledge when it comes to certain requests which makes them reject applications when it didn't need to be. If they followed up with a call or email prior to rejecting we could open the account quicker. Response times are an issue. It's just really hard to get in touch with someone regarding onboarding especially when accounts need to be opened quickly. Not very client service friendly.</t>
  </si>
  <si>
    <t>Trading &amp; market access; Responsiveness &amp; turnaround</t>
  </si>
  <si>
    <t>I think there are better options available. Based on my experiences between different clearing brokers. Others are more efficient.</t>
  </si>
  <si>
    <t>Trading &amp; market access; Knowledge, accuracy &amp; consistency; People, relationships &amp; professionalism; Client service &amp; support (general)</t>
  </si>
  <si>
    <t>They have a really good trading department. The people in there are very helpful and knowledgeable.</t>
  </si>
  <si>
    <t>The New Issue department is very organized and very good to work with.</t>
  </si>
  <si>
    <t>Their general service department.</t>
  </si>
  <si>
    <t>Responsiveness &amp; turnaround; Training &amp; education; People, relationships &amp; professionalism; Client service &amp; support (general)</t>
  </si>
  <si>
    <t>Turnaround times need to be faster and people need to be easily accessible. More training when it comes to certain issues to better service clients.</t>
  </si>
  <si>
    <t>Onboarding &amp; account administration; Training &amp; education; Client service &amp; support (general)</t>
  </si>
  <si>
    <t>Account opening department. Onboarding has room for improvement. More training.</t>
  </si>
  <si>
    <t>QA2 Overall</t>
  </si>
  <si>
    <t>QB2 Trading</t>
  </si>
  <si>
    <t>QC2 Technology</t>
  </si>
  <si>
    <t>QD2 Estates</t>
  </si>
  <si>
    <t>QE2 Transfers</t>
  </si>
  <si>
    <t>QF2 AcctAdmin</t>
  </si>
  <si>
    <t>QG1 Reporting</t>
  </si>
  <si>
    <t>QH2 Recommend</t>
  </si>
  <si>
    <t>QC4 Tech vs others</t>
  </si>
  <si>
    <t>A worse experience with NBIN</t>
  </si>
  <si>
    <t>A similar experience</t>
  </si>
  <si>
    <t>A better experience with NBIN</t>
  </si>
  <si>
    <t>It depends</t>
  </si>
  <si>
    <t>Comment volume by theme and sentiment (primary theme; formulas count the Categorized Verbatims sheet)</t>
  </si>
  <si>
    <t>Theme</t>
  </si>
  <si>
    <t>Total</t>
  </si>
  <si>
    <t>% of all comments</t>
  </si>
  <si>
    <t>Net sentiment (Pos−Neg)</t>
  </si>
  <si>
    <t>Mentions incl. secondary</t>
  </si>
  <si>
    <t>Unique respondents</t>
  </si>
  <si>
    <t>% of respondents</t>
  </si>
  <si>
    <t>TOTAL</t>
  </si>
  <si>
    <t>Unique respondents computed from raw data (distinct IDs per theme); base = 194 respondents. A comment can touch several themes — "Mentions incl. secondary" counts all tags.</t>
  </si>
  <si>
    <t>Satisfaction by service area (1–10 scale; formulas read Score Data)</t>
  </si>
  <si>
    <t>Service area</t>
  </si>
  <si>
    <t>n</t>
  </si>
  <si>
    <t>Mean</t>
  </si>
  <si>
    <t>% rating 1–6</t>
  </si>
  <si>
    <t>% rating 7–8</t>
  </si>
  <si>
    <t>% rating 9–10</t>
  </si>
  <si>
    <t>Gap vs overall mean</t>
  </si>
  <si>
    <t>Mean SC</t>
  </si>
  <si>
    <t>Mean LC+MC</t>
  </si>
  <si>
    <t>Mean ELITE</t>
  </si>
  <si>
    <t>Mean PM</t>
  </si>
  <si>
    <t>Mean IB</t>
  </si>
  <si>
    <t>Overall satisfaction (QA2)</t>
  </si>
  <si>
    <t>Trading (QB2)</t>
  </si>
  <si>
    <t>Technology (QC2)</t>
  </si>
  <si>
    <t>Estates (QD2)</t>
  </si>
  <si>
    <t>Transfers (QE2)</t>
  </si>
  <si>
    <t>Account administration (QF2)</t>
  </si>
  <si>
    <t>Client reporting (QG1)</t>
  </si>
  <si>
    <t>Likelihood to recommend (QH2)</t>
  </si>
  <si>
    <t>Section questions were asked only of users of that service; "% rating 1–6" is the share that triggered a follow-up probe. QH2 shown on the same scale for reference (NPS view on its own sheet).</t>
  </si>
  <si>
    <t>Net Promoter Score — 2026 (formulas) vs 2025 benchmark</t>
  </si>
  <si>
    <t>Segment</t>
  </si>
  <si>
    <t>Promoters (9–10)</t>
  </si>
  <si>
    <t>Passives (7–8)</t>
  </si>
  <si>
    <t>Detractors (1–6)</t>
  </si>
  <si>
    <t>% Promoters</t>
  </si>
  <si>
    <t>% Detractors</t>
  </si>
  <si>
    <t>NPS 2026</t>
  </si>
  <si>
    <t>Tier weight</t>
  </si>
  <si>
    <t>Weighted contribution</t>
  </si>
  <si>
    <t>NPS 2025 (benchmark)</t>
  </si>
  <si>
    <t>Δ 2026 vs 2025</t>
  </si>
  <si>
    <t>TOTAL (unweighted)</t>
  </si>
  <si>
    <t>TOTAL (tier-weighted)</t>
  </si>
  <si>
    <t>2025 benchmark transcribed from source workbook sheet "Sheet1 (2)" (weighted counts, n=242; same 9–10 / 7–8 / 1–6 buckets and tier factors, labelled "not official" there). One 2026 respondent answered DNK and is excluded (n=193).</t>
  </si>
  <si>
    <t>Gap analysis — where experience falls short of expectation, by five lenses</t>
  </si>
  <si>
    <t>A. Service-area gaps (vs overall satisfaction)</t>
  </si>
  <si>
    <t>Gap vs overall</t>
  </si>
  <si>
    <t>Reading</t>
  </si>
  <si>
    <t>Baseline (mean of all respondents).</t>
  </si>
  <si>
    <t>Above baseline — core strength.</t>
  </si>
  <si>
    <t>Largest negative gap — fragmented platforms drag the whole relationship.</t>
  </si>
  <si>
    <t>Below baseline — settlement timelines drive probes.</t>
  </si>
  <si>
    <t>Below baseline — highest share of dissatisfied users of any service.</t>
  </si>
  <si>
    <t>Near baseline — friction on forms/guidance.</t>
  </si>
  <si>
    <t>Near baseline — tax-slip errors and data access cited.</t>
  </si>
  <si>
    <t>Recommendation runs ~0.4 above satisfaction — loyalty cushion.</t>
  </si>
  <si>
    <t>B. Tier gap — do the biggest clients get a better experience?</t>
  </si>
  <si>
    <t>ELITE − SC</t>
  </si>
  <si>
    <t>Positive = ELITE happier than SC. ELITE carries 0.6 of weighted NPS, so ELITE-negative rows are priority risks.</t>
  </si>
  <si>
    <t>C. Firm-type &amp; region gaps (overall satisfaction and recommend)</t>
  </si>
  <si>
    <t>Mean QA2 overall</t>
  </si>
  <si>
    <t>Mean QH2 recommend</t>
  </si>
  <si>
    <t>NPS</t>
  </si>
  <si>
    <t>D. Perception gap — themes named as strengths vs improvement areas</t>
  </si>
  <si>
    <t>Positive mentions</t>
  </si>
  <si>
    <t>Negative mentions</t>
  </si>
  <si>
    <t>Net (Pos−Neg)</t>
  </si>
  <si>
    <t>E. Competitive gap — technology vs other custodians (QC4, users of other custodians only)</t>
  </si>
  <si>
    <t>Answer</t>
  </si>
  <si>
    <t>% of comparers</t>
  </si>
  <si>
    <t>F. Coverage gap — what clients raise that the questionnaire never scores</t>
  </si>
  <si>
    <t>No pricing/value-for-money question exists, yet fees drew ~34 primary-theme comments (21 negative). Recommend adding a value-for-money rating next wave.</t>
  </si>
  <si>
    <t>The 2025→2026 change to specialist/decentralized teams is the most-cited root cause behind responsiveness complaints, but no question measures the transition itself.</t>
  </si>
  <si>
    <t>Staffing &amp; turnover</t>
  </si>
  <si>
    <t>Clients volunteer retention/turnover concerns ("running on vapors"); no staffing-confidence item exists.</t>
  </si>
  <si>
    <t>Ease of contact</t>
  </si>
  <si>
    <t>QA3 rates "ease of contacting NBIN" but that attribute battery is not in this data extract; verbatims (centralized inbox removed, unclear routing) suggest it should be reported alongside sections.</t>
  </si>
  <si>
    <t>Competitive benchmarking</t>
  </si>
  <si>
    <t>Only technology (QC4) is benchmarked vs other custodians; service responsiveness — the top pain point — is not.</t>
  </si>
  <si>
    <t>Charts — all series reference the stats sheets and update if data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</si>
</sst>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
    <numFmt numFmtId="166" formatCode="0.0%"/>
    <numFmt numFmtId="167" formatCode="\+0.00;\-0.00;0.00"/>
    <numFmt numFmtId="168" formatCode="\+0;\-0"/>
  </numFmts>
  <fonts count="15" x14ac:knownFonts="1">
    <font>
      <sz val="11"/>
      <color theme="1"/>
      <name val="Calibri"/>
      <family val="2"/>
      <charset val="1"/>
    </font>
    <font>
      <b/>
      <sz val="15"/>
      <color rgb="FF1F2937"/>
      <name val="Arial"/>
      <charset val="1"/>
    </font>
    <font>
      <i/>
      <sz val="9"/>
      <color rgb="FF6B7280"/>
      <name val="Arial"/>
      <charset val="1"/>
    </font>
    <font>
      <b/>
      <sz val="11"/>
      <color rgb="FFFFFFFF"/>
      <name val="Arial"/>
      <charset val="1"/>
    </font>
    <font>
      <b/>
      <sz val="10"/>
      <color rgb="FFFFFFFF"/>
      <name val="Arial"/>
      <charset val="1"/>
    </font>
    <font>
      <b/>
      <sz val="10"/>
      <name val="Arial"/>
      <charset val="1"/>
    </font>
    <font>
      <sz val="10"/>
      <color rgb="FFD97706"/>
      <name val="Arial"/>
      <charset val="1"/>
    </font>
    <font>
      <sz val="10"/>
      <color rgb="FF0F766E"/>
      <name val="Arial"/>
      <charset val="1"/>
    </font>
    <font>
      <sz val="10"/>
      <name val="Arial"/>
      <charset val="1"/>
    </font>
    <font>
      <b/>
      <sz val="10"/>
      <color rgb="FFD97706"/>
      <name val="Arial"/>
      <charset val="1"/>
    </font>
    <font>
      <b/>
      <sz val="10"/>
      <color rgb="FF1F2937"/>
      <name val="Arial"/>
      <charset val="1"/>
    </font>
    <font>
      <b/>
      <sz val="13"/>
      <color rgb="FF1F2937"/>
      <name val="Arial"/>
      <charset val="1"/>
    </font>
    <font>
      <b/>
      <sz val="10"/>
      <color rgb="FF0F766E"/>
      <name val="Arial"/>
      <charset val="1"/>
    </font>
    <font>
      <b/>
      <sz val="10"/>
      <color rgb="FF6B7280"/>
      <name val="Arial"/>
      <charset val="1"/>
    </font>
    <font>
      <b/>
      <sz val="11"/>
      <color rgb="FF0F766E"/>
      <name val="Arial"/>
      <charset val="1"/>
    </font>
  </fonts>
  <fills count="8">
    <fill>
      <patternFill patternType="none"/>
    </fill>
    <fill>
      <patternFill patternType="gray125"/>
    </fill>
    <fill>
      <patternFill patternType="solid">
        <fgColor rgb="FF1F2937"/>
        <bgColor rgb="FF333300"/>
      </patternFill>
    </fill>
    <fill>
      <patternFill patternType="solid">
        <fgColor rgb="FF0F766E"/>
        <bgColor rgb="FF008080"/>
      </patternFill>
    </fill>
    <fill>
      <patternFill patternType="solid">
        <fgColor rgb="FFD97706"/>
        <bgColor rgb="FFFF9900"/>
      </patternFill>
    </fill>
    <fill>
      <patternFill patternType="solid">
        <fgColor rgb="FFFEF3C7"/>
        <bgColor rgb="FFF3F4F6"/>
      </patternFill>
    </fill>
    <fill>
      <patternFill patternType="solid">
        <fgColor rgb="FFF3F4F6"/>
        <bgColor rgb="FFFFFFFF"/>
      </patternFill>
    </fill>
    <fill>
      <patternFill patternType="solid">
        <fgColor rgb="FFCCFBF1"/>
        <bgColor rgb="FFCCFFCC"/>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FFD1D5DB"/>
      </left>
      <right/>
      <top style="thin">
        <color rgb="FFD1D5DB"/>
      </top>
      <bottom style="thin">
        <color rgb="FFD1D5DB"/>
      </bottom>
      <diagonal/>
    </border>
  </borders>
  <cellStyleXfs count="1">
    <xf numFmtId="0" fontId="0" fillId="0" borderId="0"/>
  </cellStyleXfs>
  <cellXfs count="53">
    <xf numFmtId="0" fontId="0" fillId="0" borderId="0" xfId="0"/>
    <xf numFmtId="0" fontId="0" fillId="0" borderId="1" xfId="0" applyBorder="1" applyAlignment="1">
      <alignment vertical="top" wrapText="1"/>
    </xf>
    <xf numFmtId="166" fontId="0" fillId="7" borderId="1" xfId="0" applyNumberFormat="1" applyFill="1" applyBorder="1"/>
    <xf numFmtId="1" fontId="0" fillId="7" borderId="1" xfId="0" applyNumberFormat="1" applyFill="1" applyBorder="1"/>
    <xf numFmtId="168" fontId="0" fillId="7" borderId="1" xfId="0" applyNumberFormat="1" applyFill="1" applyBorder="1"/>
    <xf numFmtId="0" fontId="0" fillId="7" borderId="1" xfId="0" applyFill="1" applyBorder="1" applyAlignment="1">
      <alignment vertical="top" wrapText="1"/>
    </xf>
    <xf numFmtId="2" fontId="0" fillId="7" borderId="1" xfId="0" applyNumberFormat="1" applyFill="1" applyBorder="1"/>
    <xf numFmtId="0" fontId="4" fillId="2" borderId="1" xfId="0" applyFont="1" applyFill="1" applyBorder="1" applyAlignment="1">
      <alignment horizontal="center" vertical="center" wrapText="1"/>
    </xf>
    <xf numFmtId="0" fontId="3" fillId="3" borderId="0" xfId="0" applyFont="1" applyFill="1" applyAlignment="1">
      <alignment vertical="center"/>
    </xf>
    <xf numFmtId="0" fontId="3" fillId="4" borderId="0" xfId="0" applyFont="1" applyFill="1" applyAlignment="1">
      <alignment vertical="center"/>
    </xf>
    <xf numFmtId="0" fontId="8" fillId="0" borderId="0" xfId="0" applyFont="1" applyAlignment="1">
      <alignment vertical="top" wrapText="1"/>
    </xf>
    <xf numFmtId="0" fontId="7" fillId="0" borderId="1" xfId="0" applyFont="1" applyBorder="1" applyAlignment="1">
      <alignment vertical="center" wrapText="1"/>
    </xf>
    <xf numFmtId="0" fontId="6" fillId="0" borderId="1" xfId="0" applyFont="1" applyBorder="1" applyAlignment="1">
      <alignment vertical="center" wrapText="1"/>
    </xf>
    <xf numFmtId="0" fontId="4" fillId="3" borderId="1" xfId="0" applyFont="1" applyFill="1" applyBorder="1" applyAlignment="1">
      <alignment horizontal="center" vertical="center" wrapText="1"/>
    </xf>
    <xf numFmtId="0" fontId="3" fillId="2" borderId="0" xfId="0" applyFont="1" applyFill="1" applyAlignment="1">
      <alignment vertical="center"/>
    </xf>
    <xf numFmtId="0" fontId="1" fillId="0" borderId="0" xfId="0" applyFont="1"/>
    <xf numFmtId="0" fontId="2" fillId="0" borderId="0" xfId="0" applyFont="1"/>
    <xf numFmtId="0" fontId="4" fillId="3" borderId="1" xfId="0" applyFont="1" applyFill="1" applyBorder="1" applyAlignment="1">
      <alignment horizontal="center" vertical="center" wrapText="1"/>
    </xf>
    <xf numFmtId="0" fontId="5" fillId="0" borderId="1" xfId="0" applyFont="1" applyBorder="1"/>
    <xf numFmtId="164" fontId="5" fillId="0" borderId="1" xfId="0" applyNumberFormat="1" applyFont="1" applyBorder="1"/>
    <xf numFmtId="164" fontId="0" fillId="0" borderId="1" xfId="0" applyNumberFormat="1" applyBorder="1"/>
    <xf numFmtId="165" fontId="0" fillId="0" borderId="1" xfId="0" applyNumberFormat="1" applyBorder="1"/>
    <xf numFmtId="0" fontId="0" fillId="0" borderId="1" xfId="0" applyBorder="1"/>
    <xf numFmtId="2" fontId="5" fillId="0" borderId="1" xfId="0" applyNumberFormat="1" applyFont="1" applyBorder="1"/>
    <xf numFmtId="166" fontId="5" fillId="0" borderId="1" xfId="0" applyNumberFormat="1" applyFont="1" applyBorder="1"/>
    <xf numFmtId="167" fontId="0" fillId="0" borderId="1" xfId="0" applyNumberFormat="1" applyBorder="1"/>
    <xf numFmtId="1" fontId="5" fillId="0" borderId="1" xfId="0" applyNumberFormat="1" applyFont="1" applyBorder="1"/>
    <xf numFmtId="0" fontId="8" fillId="0" borderId="0" xfId="0" applyFont="1" applyAlignment="1">
      <alignment vertical="top" wrapText="1"/>
    </xf>
    <xf numFmtId="0" fontId="9" fillId="5" borderId="1" xfId="0" applyFont="1" applyFill="1" applyBorder="1"/>
    <xf numFmtId="0" fontId="5" fillId="5" borderId="1" xfId="0" applyFont="1" applyFill="1" applyBorder="1"/>
    <xf numFmtId="0" fontId="0" fillId="5" borderId="1" xfId="0" applyFill="1" applyBorder="1"/>
    <xf numFmtId="0" fontId="0" fillId="5" borderId="1" xfId="0" applyFill="1" applyBorder="1" applyAlignment="1">
      <alignment vertical="top" wrapText="1"/>
    </xf>
    <xf numFmtId="0" fontId="10" fillId="0" borderId="1" xfId="0" applyFont="1" applyBorder="1"/>
    <xf numFmtId="0" fontId="0" fillId="0" borderId="1" xfId="0" applyBorder="1" applyAlignment="1">
      <alignment vertical="top" wrapText="1"/>
    </xf>
    <xf numFmtId="0" fontId="10" fillId="6" borderId="1" xfId="0" applyFont="1" applyFill="1" applyBorder="1"/>
    <xf numFmtId="0" fontId="5" fillId="6" borderId="1" xfId="0" applyFont="1" applyFill="1" applyBorder="1"/>
    <xf numFmtId="0" fontId="0" fillId="6" borderId="1" xfId="0" applyFill="1" applyBorder="1"/>
    <xf numFmtId="0" fontId="0" fillId="6" borderId="1" xfId="0" applyFill="1" applyBorder="1" applyAlignment="1">
      <alignment vertical="top" wrapText="1"/>
    </xf>
    <xf numFmtId="0" fontId="4" fillId="2" borderId="1" xfId="0" applyFont="1" applyFill="1" applyBorder="1" applyAlignment="1">
      <alignment horizontal="center" vertical="center" wrapText="1"/>
    </xf>
    <xf numFmtId="0" fontId="5" fillId="7" borderId="1" xfId="0" applyFont="1" applyFill="1" applyBorder="1"/>
    <xf numFmtId="0" fontId="11" fillId="0" borderId="0" xfId="0" applyFont="1"/>
    <xf numFmtId="0" fontId="5" fillId="0" borderId="0" xfId="0" applyFont="1"/>
    <xf numFmtId="0" fontId="8" fillId="0" borderId="1" xfId="0" applyFont="1" applyBorder="1"/>
    <xf numFmtId="0" fontId="9" fillId="0" borderId="1" xfId="0" applyFont="1" applyBorder="1"/>
    <xf numFmtId="0" fontId="8" fillId="0" borderId="1" xfId="0" applyFont="1" applyBorder="1" applyAlignment="1">
      <alignment vertical="top" wrapText="1"/>
    </xf>
    <xf numFmtId="0" fontId="12" fillId="0" borderId="1" xfId="0" applyFont="1" applyBorder="1"/>
    <xf numFmtId="0" fontId="13" fillId="0" borderId="1" xfId="0" applyFont="1" applyBorder="1"/>
    <xf numFmtId="166" fontId="0" fillId="0" borderId="1" xfId="0" applyNumberFormat="1" applyBorder="1"/>
    <xf numFmtId="2" fontId="0" fillId="0" borderId="1" xfId="0" applyNumberFormat="1" applyBorder="1"/>
    <xf numFmtId="0" fontId="14" fillId="0" borderId="1" xfId="0" applyFont="1" applyBorder="1"/>
    <xf numFmtId="0" fontId="2" fillId="0" borderId="1" xfId="0" applyFont="1" applyBorder="1"/>
    <xf numFmtId="0" fontId="5" fillId="0" borderId="0" xfId="0" applyFont="1" applyAlignment="1">
      <alignment vertical="top" wrapText="1"/>
    </xf>
    <xf numFmtId="0" fontId="8" fillId="0" borderId="2"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D9D9D9"/>
      <rgbColor rgb="FF878787"/>
      <rgbColor rgb="FF9999FF"/>
      <rgbColor rgb="FF993366"/>
      <rgbColor rgb="FFFEF3C7"/>
      <rgbColor rgb="FFCCFBF1"/>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CCFFCC"/>
      <rgbColor rgb="FFFFFF99"/>
      <rgbColor rgb="FF99CCFF"/>
      <rgbColor rgb="FFFF99CC"/>
      <rgbColor rgb="FFCC99FF"/>
      <rgbColor rgb="FFFFCC99"/>
      <rgbColor rgb="FF3366FF"/>
      <rgbColor rgb="FF33CCCC"/>
      <rgbColor rgb="FF99CC00"/>
      <rgbColor rgb="FFFFCC00"/>
      <rgbColor rgb="FFFF9900"/>
      <rgbColor rgb="FFD97706"/>
      <rgbColor rgb="FF6B7280"/>
      <rgbColor rgb="FF969696"/>
      <rgbColor rgb="FF003366"/>
      <rgbColor rgb="FF339966"/>
      <rgbColor rgb="FF003300"/>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Comment volume per category, by sentiment</a:t>
            </a:r>
          </a:p>
        </c:rich>
      </c:tx>
      <c:overlay val="0"/>
      <c:spPr>
        <a:noFill/>
        <a:ln w="0">
          <a:noFill/>
        </a:ln>
      </c:spPr>
    </c:title>
    <c:autoTitleDeleted val="0"/>
    <c:plotArea>
      <c:layout/>
      <c:barChart>
        <c:barDir val="col"/>
        <c:grouping val="stacked"/>
        <c:varyColors val="0"/>
        <c:ser>
          <c:idx val="0"/>
          <c:order val="0"/>
          <c:tx>
            <c:strRef>
              <c:f>'Theme Stats'!$B$3</c:f>
              <c:strCache>
                <c:ptCount val="1"/>
                <c:pt idx="0">
                  <c:v>Negative</c:v>
                </c:pt>
              </c:strCache>
            </c:strRef>
          </c:tx>
          <c:spPr>
            <a:solidFill>
              <a:srgbClr val="D97706"/>
            </a:solidFill>
            <a:ln w="0">
              <a:solidFill>
                <a:srgbClr val="D97706"/>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'Theme Stats'!$A$4:$A$23</c:f>
              <c:strCache>
                <c:ptCount val="20"/>
                <c:pt idx="0">
                  <c:v>Technology &amp; platform integration</c:v>
                </c:pt>
                <c:pt idx="1">
                  <c:v>Responsiveness &amp; turnaround</c:v>
                </c:pt>
                <c:pt idx="2">
                  <c:v>Other / general</c:v>
                </c:pt>
                <c:pt idx="3">
                  <c:v>People, relationships &amp; professionalism</c:v>
                </c:pt>
                <c:pt idx="4">
                  <c:v>Client service &amp; support (general)</c:v>
                </c:pt>
                <c:pt idx="5">
                  <c:v>Trading &amp; market access</c:v>
                </c:pt>
                <c:pt idx="6">
                  <c:v>Knowledge, accuracy &amp; consistency</c:v>
                </c:pt>
                <c:pt idx="7">
                  <c:v>Transfers</c:v>
                </c:pt>
                <c:pt idx="8">
                  <c:v>Reporting, statements &amp; data</c:v>
                </c:pt>
                <c:pt idx="9">
                  <c:v>Leadership, brand &amp; scale</c:v>
                </c:pt>
                <c:pt idx="10">
                  <c:v>Estates &amp; settlements</c:v>
                </c:pt>
                <c:pt idx="11">
                  <c:v>Communication &amp; proactivity</c:v>
                </c:pt>
                <c:pt idx="12">
                  <c:v>Pricing &amp; fees</c:v>
                </c:pt>
                <c:pt idx="13">
                  <c:v>Service model &amp; restructuring</c:v>
                </c:pt>
                <c:pt idx="14">
                  <c:v>Onboarding &amp; account administration</c:v>
                </c:pt>
                <c:pt idx="15">
                  <c:v>Product breadth &amp; offering</c:v>
                </c:pt>
                <c:pt idx="16">
                  <c:v>Training &amp; education</c:v>
                </c:pt>
                <c:pt idx="17">
                  <c:v>Competitive position &amp; alternatives</c:v>
                </c:pt>
                <c:pt idx="18">
                  <c:v>Ease of contact &amp; routing</c:v>
                </c:pt>
                <c:pt idx="19">
                  <c:v>Staffing &amp; resources</c:v>
                </c:pt>
              </c:strCache>
            </c:strRef>
          </c:cat>
          <c:val>
            <c:numRef>
              <c:f>'Theme Stats'!$B$4:$B$23</c:f>
              <c:numCache>
                <c:formatCode>General</c:formatCode>
                <c:ptCount val="20"/>
                <c:pt idx="0">
                  <c:v>131</c:v>
                </c:pt>
                <c:pt idx="1">
                  <c:v>165</c:v>
                </c:pt>
                <c:pt idx="2">
                  <c:v>57</c:v>
                </c:pt>
                <c:pt idx="3">
                  <c:v>33</c:v>
                </c:pt>
                <c:pt idx="4">
                  <c:v>34</c:v>
                </c:pt>
                <c:pt idx="5">
                  <c:v>23</c:v>
                </c:pt>
                <c:pt idx="6">
                  <c:v>27</c:v>
                </c:pt>
                <c:pt idx="7">
                  <c:v>52</c:v>
                </c:pt>
                <c:pt idx="8">
                  <c:v>39</c:v>
                </c:pt>
                <c:pt idx="9">
                  <c:v>3</c:v>
                </c:pt>
                <c:pt idx="10">
                  <c:v>31</c:v>
                </c:pt>
                <c:pt idx="11">
                  <c:v>18</c:v>
                </c:pt>
                <c:pt idx="12">
                  <c:v>21</c:v>
                </c:pt>
                <c:pt idx="13">
                  <c:v>16</c:v>
                </c:pt>
                <c:pt idx="14">
                  <c:v>18</c:v>
                </c:pt>
                <c:pt idx="15">
                  <c:v>3</c:v>
                </c:pt>
                <c:pt idx="16">
                  <c:v>14</c:v>
                </c:pt>
                <c:pt idx="17">
                  <c:v>8</c:v>
                </c:pt>
                <c:pt idx="18">
                  <c:v>9</c:v>
                </c:pt>
                <c:pt idx="19">
                  <c:v>7</c:v>
                </c:pt>
              </c:numCache>
            </c:numRef>
          </c:val>
          <c:extLst>
            <c:ext xmlns:c16="http://schemas.microsoft.com/office/drawing/2014/chart" uri="{C3380CC4-5D6E-409C-BE32-E72D297353CC}">
              <c16:uniqueId val="{00000000-F8F7-497C-8894-CAFD3E58ABF6}"/>
            </c:ext>
          </c:extLst>
        </c:ser>
        <c:ser>
          <c:idx val="1"/>
          <c:order val="1"/>
          <c:tx>
            <c:strRef>
              <c:f>'Theme Stats'!$C$3</c:f>
              <c:strCache>
                <c:ptCount val="1"/>
                <c:pt idx="0">
                  <c:v>Mixed</c:v>
                </c:pt>
              </c:strCache>
            </c:strRef>
          </c:tx>
          <c:spPr>
            <a:solidFill>
              <a:srgbClr val="6B7280"/>
            </a:solidFill>
            <a:ln w="0">
              <a:solidFill>
                <a:srgbClr val="6B728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'Theme Stats'!$A$4:$A$23</c:f>
              <c:strCache>
                <c:ptCount val="20"/>
                <c:pt idx="0">
                  <c:v>Technology &amp; platform integration</c:v>
                </c:pt>
                <c:pt idx="1">
                  <c:v>Responsiveness &amp; turnaround</c:v>
                </c:pt>
                <c:pt idx="2">
                  <c:v>Other / general</c:v>
                </c:pt>
                <c:pt idx="3">
                  <c:v>People, relationships &amp; professionalism</c:v>
                </c:pt>
                <c:pt idx="4">
                  <c:v>Client service &amp; support (general)</c:v>
                </c:pt>
                <c:pt idx="5">
                  <c:v>Trading &amp; market access</c:v>
                </c:pt>
                <c:pt idx="6">
                  <c:v>Knowledge, accuracy &amp; consistency</c:v>
                </c:pt>
                <c:pt idx="7">
                  <c:v>Transfers</c:v>
                </c:pt>
                <c:pt idx="8">
                  <c:v>Reporting, statements &amp; data</c:v>
                </c:pt>
                <c:pt idx="9">
                  <c:v>Leadership, brand &amp; scale</c:v>
                </c:pt>
                <c:pt idx="10">
                  <c:v>Estates &amp; settlements</c:v>
                </c:pt>
                <c:pt idx="11">
                  <c:v>Communication &amp; proactivity</c:v>
                </c:pt>
                <c:pt idx="12">
                  <c:v>Pricing &amp; fees</c:v>
                </c:pt>
                <c:pt idx="13">
                  <c:v>Service model &amp; restructuring</c:v>
                </c:pt>
                <c:pt idx="14">
                  <c:v>Onboarding &amp; account administration</c:v>
                </c:pt>
                <c:pt idx="15">
                  <c:v>Product breadth &amp; offering</c:v>
                </c:pt>
                <c:pt idx="16">
                  <c:v>Training &amp; education</c:v>
                </c:pt>
                <c:pt idx="17">
                  <c:v>Competitive position &amp; alternatives</c:v>
                </c:pt>
                <c:pt idx="18">
                  <c:v>Ease of contact &amp; routing</c:v>
                </c:pt>
                <c:pt idx="19">
                  <c:v>Staffing &amp; resources</c:v>
                </c:pt>
              </c:strCache>
            </c:strRef>
          </c:cat>
          <c:val>
            <c:numRef>
              <c:f>'Theme Stats'!$C$4:$C$23</c:f>
              <c:numCache>
                <c:formatCode>General</c:formatCode>
                <c:ptCount val="20"/>
                <c:pt idx="0">
                  <c:v>16</c:v>
                </c:pt>
                <c:pt idx="1">
                  <c:v>10</c:v>
                </c:pt>
                <c:pt idx="2">
                  <c:v>15</c:v>
                </c:pt>
                <c:pt idx="3">
                  <c:v>5</c:v>
                </c:pt>
                <c:pt idx="4">
                  <c:v>3</c:v>
                </c:pt>
                <c:pt idx="5">
                  <c:v>7</c:v>
                </c:pt>
                <c:pt idx="6">
                  <c:v>3</c:v>
                </c:pt>
                <c:pt idx="7">
                  <c:v>1</c:v>
                </c:pt>
                <c:pt idx="8">
                  <c:v>1</c:v>
                </c:pt>
                <c:pt idx="9">
                  <c:v>3</c:v>
                </c:pt>
                <c:pt idx="10">
                  <c:v>1</c:v>
                </c:pt>
                <c:pt idx="11">
                  <c:v>1</c:v>
                </c:pt>
                <c:pt idx="12">
                  <c:v>2</c:v>
                </c:pt>
                <c:pt idx="13">
                  <c:v>5</c:v>
                </c:pt>
                <c:pt idx="14">
                  <c:v>1</c:v>
                </c:pt>
                <c:pt idx="15">
                  <c:v>1</c:v>
                </c:pt>
                <c:pt idx="16">
                  <c:v>0</c:v>
                </c:pt>
                <c:pt idx="17">
                  <c:v>6</c:v>
                </c:pt>
                <c:pt idx="18">
                  <c:v>1</c:v>
                </c:pt>
                <c:pt idx="19">
                  <c:v>0</c:v>
                </c:pt>
              </c:numCache>
            </c:numRef>
          </c:val>
          <c:extLst>
            <c:ext xmlns:c16="http://schemas.microsoft.com/office/drawing/2014/chart" uri="{C3380CC4-5D6E-409C-BE32-E72D297353CC}">
              <c16:uniqueId val="{00000001-F8F7-497C-8894-CAFD3E58ABF6}"/>
            </c:ext>
          </c:extLst>
        </c:ser>
        <c:ser>
          <c:idx val="2"/>
          <c:order val="2"/>
          <c:tx>
            <c:strRef>
              <c:f>'Theme Stats'!$D$3</c:f>
              <c:strCache>
                <c:ptCount val="1"/>
                <c:pt idx="0">
                  <c:v>Positive</c:v>
                </c:pt>
              </c:strCache>
            </c:strRef>
          </c:tx>
          <c:spPr>
            <a:solidFill>
              <a:srgbClr val="0F766E"/>
            </a:solidFill>
            <a:ln w="0">
              <a:solidFill>
                <a:srgbClr val="0F766E"/>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'Theme Stats'!$A$4:$A$23</c:f>
              <c:strCache>
                <c:ptCount val="20"/>
                <c:pt idx="0">
                  <c:v>Technology &amp; platform integration</c:v>
                </c:pt>
                <c:pt idx="1">
                  <c:v>Responsiveness &amp; turnaround</c:v>
                </c:pt>
                <c:pt idx="2">
                  <c:v>Other / general</c:v>
                </c:pt>
                <c:pt idx="3">
                  <c:v>People, relationships &amp; professionalism</c:v>
                </c:pt>
                <c:pt idx="4">
                  <c:v>Client service &amp; support (general)</c:v>
                </c:pt>
                <c:pt idx="5">
                  <c:v>Trading &amp; market access</c:v>
                </c:pt>
                <c:pt idx="6">
                  <c:v>Knowledge, accuracy &amp; consistency</c:v>
                </c:pt>
                <c:pt idx="7">
                  <c:v>Transfers</c:v>
                </c:pt>
                <c:pt idx="8">
                  <c:v>Reporting, statements &amp; data</c:v>
                </c:pt>
                <c:pt idx="9">
                  <c:v>Leadership, brand &amp; scale</c:v>
                </c:pt>
                <c:pt idx="10">
                  <c:v>Estates &amp; settlements</c:v>
                </c:pt>
                <c:pt idx="11">
                  <c:v>Communication &amp; proactivity</c:v>
                </c:pt>
                <c:pt idx="12">
                  <c:v>Pricing &amp; fees</c:v>
                </c:pt>
                <c:pt idx="13">
                  <c:v>Service model &amp; restructuring</c:v>
                </c:pt>
                <c:pt idx="14">
                  <c:v>Onboarding &amp; account administration</c:v>
                </c:pt>
                <c:pt idx="15">
                  <c:v>Product breadth &amp; offering</c:v>
                </c:pt>
                <c:pt idx="16">
                  <c:v>Training &amp; education</c:v>
                </c:pt>
                <c:pt idx="17">
                  <c:v>Competitive position &amp; alternatives</c:v>
                </c:pt>
                <c:pt idx="18">
                  <c:v>Ease of contact &amp; routing</c:v>
                </c:pt>
                <c:pt idx="19">
                  <c:v>Staffing &amp; resources</c:v>
                </c:pt>
              </c:strCache>
            </c:strRef>
          </c:cat>
          <c:val>
            <c:numRef>
              <c:f>'Theme Stats'!$D$4:$D$23</c:f>
              <c:numCache>
                <c:formatCode>General</c:formatCode>
                <c:ptCount val="20"/>
                <c:pt idx="0">
                  <c:v>85</c:v>
                </c:pt>
                <c:pt idx="1">
                  <c:v>43</c:v>
                </c:pt>
                <c:pt idx="2">
                  <c:v>91</c:v>
                </c:pt>
                <c:pt idx="3">
                  <c:v>92</c:v>
                </c:pt>
                <c:pt idx="4">
                  <c:v>49</c:v>
                </c:pt>
                <c:pt idx="5">
                  <c:v>41</c:v>
                </c:pt>
                <c:pt idx="6">
                  <c:v>35</c:v>
                </c:pt>
                <c:pt idx="7">
                  <c:v>7</c:v>
                </c:pt>
                <c:pt idx="8">
                  <c:v>13</c:v>
                </c:pt>
                <c:pt idx="9">
                  <c:v>44</c:v>
                </c:pt>
                <c:pt idx="10">
                  <c:v>4</c:v>
                </c:pt>
                <c:pt idx="11">
                  <c:v>15</c:v>
                </c:pt>
                <c:pt idx="12">
                  <c:v>11</c:v>
                </c:pt>
                <c:pt idx="13">
                  <c:v>11</c:v>
                </c:pt>
                <c:pt idx="14">
                  <c:v>6</c:v>
                </c:pt>
                <c:pt idx="15">
                  <c:v>16</c:v>
                </c:pt>
                <c:pt idx="16">
                  <c:v>3</c:v>
                </c:pt>
                <c:pt idx="17">
                  <c:v>2</c:v>
                </c:pt>
                <c:pt idx="18">
                  <c:v>0</c:v>
                </c:pt>
                <c:pt idx="19">
                  <c:v>2</c:v>
                </c:pt>
              </c:numCache>
            </c:numRef>
          </c:val>
          <c:extLst>
            <c:ext xmlns:c16="http://schemas.microsoft.com/office/drawing/2014/chart" uri="{C3380CC4-5D6E-409C-BE32-E72D297353CC}">
              <c16:uniqueId val="{00000002-F8F7-497C-8894-CAFD3E58ABF6}"/>
            </c:ext>
          </c:extLst>
        </c:ser>
        <c:dLbls>
          <c:showLegendKey val="0"/>
          <c:showVal val="0"/>
          <c:showCatName val="0"/>
          <c:showSerName val="0"/>
          <c:showPercent val="0"/>
          <c:showBubbleSize val="0"/>
        </c:dLbls>
        <c:gapWidth val="150"/>
        <c:overlap val="100"/>
        <c:axId val="62660245"/>
        <c:axId val="78588201"/>
      </c:barChart>
      <c:catAx>
        <c:axId val="6266024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8588201"/>
        <c:crosses val="autoZero"/>
        <c:auto val="1"/>
        <c:lblAlgn val="ctr"/>
        <c:lblOffset val="100"/>
        <c:noMultiLvlLbl val="0"/>
      </c:catAx>
      <c:valAx>
        <c:axId val="7858820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Comments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266024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All 1,361 comments — total sentiment split</a:t>
            </a:r>
          </a:p>
        </c:rich>
      </c:tx>
      <c:overlay val="0"/>
      <c:spPr>
        <a:noFill/>
        <a:ln w="0">
          <a:noFill/>
        </a:ln>
      </c:spPr>
    </c:title>
    <c:autoTitleDeleted val="0"/>
    <c:plotArea>
      <c:layout/>
      <c:barChart>
        <c:barDir val="bar"/>
        <c:grouping val="clustered"/>
        <c:varyColors val="0"/>
        <c:ser>
          <c:idx val="0"/>
          <c:order val="0"/>
          <c:tx>
            <c:v>Negative</c:v>
          </c:tx>
          <c:spPr>
            <a:solidFill>
              <a:srgbClr val="D9770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'Theme Stats'!$B$24</c:f>
              <c:numCache>
                <c:formatCode>General</c:formatCode>
                <c:ptCount val="1"/>
                <c:pt idx="0">
                  <c:v>709</c:v>
                </c:pt>
              </c:numCache>
            </c:numRef>
          </c:val>
          <c:extLst>
            <c:ext xmlns:c16="http://schemas.microsoft.com/office/drawing/2014/chart" uri="{C3380CC4-5D6E-409C-BE32-E72D297353CC}">
              <c16:uniqueId val="{00000000-D6CE-404C-BF6F-762F235081F1}"/>
            </c:ext>
          </c:extLst>
        </c:ser>
        <c:ser>
          <c:idx val="1"/>
          <c:order val="1"/>
          <c:tx>
            <c:v>Mixed</c:v>
          </c:tx>
          <c:spPr>
            <a:solidFill>
              <a:srgbClr val="6B728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'Theme Stats'!$C$24</c:f>
              <c:numCache>
                <c:formatCode>General</c:formatCode>
                <c:ptCount val="1"/>
                <c:pt idx="0">
                  <c:v>82</c:v>
                </c:pt>
              </c:numCache>
            </c:numRef>
          </c:val>
          <c:extLst>
            <c:ext xmlns:c16="http://schemas.microsoft.com/office/drawing/2014/chart" uri="{C3380CC4-5D6E-409C-BE32-E72D297353CC}">
              <c16:uniqueId val="{00000001-D6CE-404C-BF6F-762F235081F1}"/>
            </c:ext>
          </c:extLst>
        </c:ser>
        <c:ser>
          <c:idx val="2"/>
          <c:order val="2"/>
          <c:tx>
            <c:v>Positive</c:v>
          </c:tx>
          <c:spPr>
            <a:solidFill>
              <a:srgbClr val="0F766E"/>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'Theme Stats'!$D$24</c:f>
              <c:numCache>
                <c:formatCode>General</c:formatCode>
                <c:ptCount val="1"/>
                <c:pt idx="0">
                  <c:v>570</c:v>
                </c:pt>
              </c:numCache>
            </c:numRef>
          </c:val>
          <c:extLst>
            <c:ext xmlns:c16="http://schemas.microsoft.com/office/drawing/2014/chart" uri="{C3380CC4-5D6E-409C-BE32-E72D297353CC}">
              <c16:uniqueId val="{00000002-D6CE-404C-BF6F-762F235081F1}"/>
            </c:ext>
          </c:extLst>
        </c:ser>
        <c:dLbls>
          <c:showLegendKey val="0"/>
          <c:showVal val="0"/>
          <c:showCatName val="0"/>
          <c:showSerName val="0"/>
          <c:showPercent val="0"/>
          <c:showBubbleSize val="0"/>
        </c:dLbls>
        <c:gapWidth val="150"/>
        <c:axId val="4859119"/>
        <c:axId val="96492921"/>
      </c:barChart>
      <c:catAx>
        <c:axId val="4859119"/>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6492921"/>
        <c:crosses val="autoZero"/>
        <c:auto val="1"/>
        <c:lblAlgn val="ctr"/>
        <c:lblOffset val="100"/>
        <c:noMultiLvlLbl val="0"/>
      </c:catAx>
      <c:valAx>
        <c:axId val="96492921"/>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85911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Mean satisfaction by service area (1–10)</a:t>
            </a:r>
          </a:p>
        </c:rich>
      </c:tx>
      <c:overlay val="0"/>
      <c:spPr>
        <a:noFill/>
        <a:ln w="0">
          <a:noFill/>
        </a:ln>
      </c:spPr>
    </c:title>
    <c:autoTitleDeleted val="0"/>
    <c:plotArea>
      <c:layout/>
      <c:barChart>
        <c:barDir val="col"/>
        <c:grouping val="clustered"/>
        <c:varyColors val="0"/>
        <c:ser>
          <c:idx val="0"/>
          <c:order val="0"/>
          <c:tx>
            <c:strRef>
              <c:f>'Section Scores'!$C$3</c:f>
              <c:strCache>
                <c:ptCount val="1"/>
                <c:pt idx="0">
                  <c:v>Mean</c:v>
                </c:pt>
              </c:strCache>
            </c:strRef>
          </c:tx>
          <c:spPr>
            <a:solidFill>
              <a:srgbClr val="0F766E"/>
            </a:solidFill>
            <a:ln w="0">
              <a:solidFill>
                <a:srgbClr val="0F766E"/>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'Section Scores'!$A$4:$A$11</c:f>
              <c:strCache>
                <c:ptCount val="8"/>
                <c:pt idx="0">
                  <c:v>Overall satisfaction (QA2)</c:v>
                </c:pt>
                <c:pt idx="1">
                  <c:v>Trading (QB2)</c:v>
                </c:pt>
                <c:pt idx="2">
                  <c:v>Technology (QC2)</c:v>
                </c:pt>
                <c:pt idx="3">
                  <c:v>Estates (QD2)</c:v>
                </c:pt>
                <c:pt idx="4">
                  <c:v>Transfers (QE2)</c:v>
                </c:pt>
                <c:pt idx="5">
                  <c:v>Account administration (QF2)</c:v>
                </c:pt>
                <c:pt idx="6">
                  <c:v>Client reporting (QG1)</c:v>
                </c:pt>
                <c:pt idx="7">
                  <c:v>Likelihood to recommend (QH2)</c:v>
                </c:pt>
              </c:strCache>
            </c:strRef>
          </c:cat>
          <c:val>
            <c:numRef>
              <c:f>'Section Scores'!$C$4:$C$11</c:f>
              <c:numCache>
                <c:formatCode>0.00</c:formatCode>
                <c:ptCount val="8"/>
                <c:pt idx="0">
                  <c:v>6.7268041237113403</c:v>
                </c:pt>
                <c:pt idx="1">
                  <c:v>8.5510204081632661</c:v>
                </c:pt>
                <c:pt idx="2">
                  <c:v>7.1575342465753424</c:v>
                </c:pt>
                <c:pt idx="3">
                  <c:v>6.5670103092783503</c:v>
                </c:pt>
                <c:pt idx="4">
                  <c:v>6.5</c:v>
                </c:pt>
                <c:pt idx="5">
                  <c:v>6.8896551724137929</c:v>
                </c:pt>
                <c:pt idx="6">
                  <c:v>7.7374301675977657</c:v>
                </c:pt>
                <c:pt idx="7">
                  <c:v>7.4766839378238341</c:v>
                </c:pt>
              </c:numCache>
            </c:numRef>
          </c:val>
          <c:extLst>
            <c:ext xmlns:c16="http://schemas.microsoft.com/office/drawing/2014/chart" uri="{C3380CC4-5D6E-409C-BE32-E72D297353CC}">
              <c16:uniqueId val="{00000000-EDE3-4681-A13E-7B0ECE896BB1}"/>
            </c:ext>
          </c:extLst>
        </c:ser>
        <c:dLbls>
          <c:showLegendKey val="0"/>
          <c:showVal val="0"/>
          <c:showCatName val="0"/>
          <c:showSerName val="0"/>
          <c:showPercent val="0"/>
          <c:showBubbleSize val="0"/>
        </c:dLbls>
        <c:gapWidth val="150"/>
        <c:axId val="76512060"/>
        <c:axId val="8268540"/>
      </c:barChart>
      <c:catAx>
        <c:axId val="7651206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268540"/>
        <c:crosses val="autoZero"/>
        <c:auto val="1"/>
        <c:lblAlgn val="ctr"/>
        <c:lblOffset val="100"/>
        <c:noMultiLvlLbl val="0"/>
      </c:catAx>
      <c:valAx>
        <c:axId val="8268540"/>
        <c:scaling>
          <c:orientation val="minMax"/>
          <c:max val="10"/>
          <c:min val="0"/>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651206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 of users rating 1–6 (dissatisfied) by service area</a:t>
            </a:r>
          </a:p>
        </c:rich>
      </c:tx>
      <c:overlay val="0"/>
      <c:spPr>
        <a:noFill/>
        <a:ln w="0">
          <a:noFill/>
        </a:ln>
      </c:spPr>
    </c:title>
    <c:autoTitleDeleted val="0"/>
    <c:plotArea>
      <c:layout/>
      <c:barChart>
        <c:barDir val="col"/>
        <c:grouping val="clustered"/>
        <c:varyColors val="0"/>
        <c:ser>
          <c:idx val="0"/>
          <c:order val="0"/>
          <c:tx>
            <c:strRef>
              <c:f>'Section Scores'!$D$3</c:f>
              <c:strCache>
                <c:ptCount val="1"/>
                <c:pt idx="0">
                  <c:v>% rating 1–6</c:v>
                </c:pt>
              </c:strCache>
            </c:strRef>
          </c:tx>
          <c:spPr>
            <a:solidFill>
              <a:srgbClr val="D97706"/>
            </a:solidFill>
            <a:ln w="0">
              <a:solidFill>
                <a:srgbClr val="D97706"/>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'Section Scores'!$A$4:$A$11</c:f>
              <c:strCache>
                <c:ptCount val="8"/>
                <c:pt idx="0">
                  <c:v>Overall satisfaction (QA2)</c:v>
                </c:pt>
                <c:pt idx="1">
                  <c:v>Trading (QB2)</c:v>
                </c:pt>
                <c:pt idx="2">
                  <c:v>Technology (QC2)</c:v>
                </c:pt>
                <c:pt idx="3">
                  <c:v>Estates (QD2)</c:v>
                </c:pt>
                <c:pt idx="4">
                  <c:v>Transfers (QE2)</c:v>
                </c:pt>
                <c:pt idx="5">
                  <c:v>Account administration (QF2)</c:v>
                </c:pt>
                <c:pt idx="6">
                  <c:v>Client reporting (QG1)</c:v>
                </c:pt>
                <c:pt idx="7">
                  <c:v>Likelihood to recommend (QH2)</c:v>
                </c:pt>
              </c:strCache>
            </c:strRef>
          </c:cat>
          <c:val>
            <c:numRef>
              <c:f>'Section Scores'!$D$4:$D$11</c:f>
              <c:numCache>
                <c:formatCode>0.0%</c:formatCode>
                <c:ptCount val="8"/>
                <c:pt idx="0">
                  <c:v>0.32989690721649484</c:v>
                </c:pt>
                <c:pt idx="1">
                  <c:v>4.0816326530612242E-2</c:v>
                </c:pt>
                <c:pt idx="2">
                  <c:v>0.22602739726027396</c:v>
                </c:pt>
                <c:pt idx="3">
                  <c:v>0.38144329896907214</c:v>
                </c:pt>
                <c:pt idx="4">
                  <c:v>0.39130434782608697</c:v>
                </c:pt>
                <c:pt idx="5">
                  <c:v>0.30344827586206896</c:v>
                </c:pt>
                <c:pt idx="6">
                  <c:v>0.18435754189944134</c:v>
                </c:pt>
                <c:pt idx="7">
                  <c:v>0.23834196891191708</c:v>
                </c:pt>
              </c:numCache>
            </c:numRef>
          </c:val>
          <c:extLst>
            <c:ext xmlns:c16="http://schemas.microsoft.com/office/drawing/2014/chart" uri="{C3380CC4-5D6E-409C-BE32-E72D297353CC}">
              <c16:uniqueId val="{00000000-7CF6-4819-B87D-B40092DB27DB}"/>
            </c:ext>
          </c:extLst>
        </c:ser>
        <c:dLbls>
          <c:showLegendKey val="0"/>
          <c:showVal val="0"/>
          <c:showCatName val="0"/>
          <c:showSerName val="0"/>
          <c:showPercent val="0"/>
          <c:showBubbleSize val="0"/>
        </c:dLbls>
        <c:gapWidth val="150"/>
        <c:axId val="66649522"/>
        <c:axId val="74090088"/>
      </c:barChart>
      <c:catAx>
        <c:axId val="6664952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4090088"/>
        <c:crosses val="autoZero"/>
        <c:auto val="1"/>
        <c:lblAlgn val="ctr"/>
        <c:lblOffset val="100"/>
        <c:noMultiLvlLbl val="0"/>
      </c:catAx>
      <c:valAx>
        <c:axId val="74090088"/>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664952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NPS by tier — 2026 vs 2025 benchmark</a:t>
            </a:r>
          </a:p>
        </c:rich>
      </c:tx>
      <c:overlay val="0"/>
      <c:spPr>
        <a:noFill/>
        <a:ln w="0">
          <a:noFill/>
        </a:ln>
      </c:spPr>
    </c:title>
    <c:autoTitleDeleted val="0"/>
    <c:plotArea>
      <c:layout/>
      <c:barChart>
        <c:barDir val="col"/>
        <c:grouping val="clustered"/>
        <c:varyColors val="0"/>
        <c:ser>
          <c:idx val="0"/>
          <c:order val="0"/>
          <c:tx>
            <c:v>NPS 2026</c:v>
          </c:tx>
          <c:spPr>
            <a:solidFill>
              <a:srgbClr val="0F766E"/>
            </a:solidFill>
            <a:ln w="0">
              <a:solidFill>
                <a:srgbClr val="0F766E"/>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'NPS Analysis'!$A$4:$A$6</c:f>
              <c:strCache>
                <c:ptCount val="3"/>
                <c:pt idx="0">
                  <c:v>SC</c:v>
                </c:pt>
                <c:pt idx="1">
                  <c:v>LC+MC</c:v>
                </c:pt>
                <c:pt idx="2">
                  <c:v>ELITE</c:v>
                </c:pt>
              </c:strCache>
            </c:strRef>
          </c:cat>
          <c:val>
            <c:numRef>
              <c:f>'NPS Analysis'!$H$4:$H$6</c:f>
              <c:numCache>
                <c:formatCode>0.0</c:formatCode>
                <c:ptCount val="3"/>
                <c:pt idx="0">
                  <c:v>8.1081081081081088</c:v>
                </c:pt>
                <c:pt idx="1">
                  <c:v>5.7971014492753623</c:v>
                </c:pt>
                <c:pt idx="2">
                  <c:v>18.390804597701148</c:v>
                </c:pt>
              </c:numCache>
            </c:numRef>
          </c:val>
          <c:extLst>
            <c:ext xmlns:c16="http://schemas.microsoft.com/office/drawing/2014/chart" uri="{C3380CC4-5D6E-409C-BE32-E72D297353CC}">
              <c16:uniqueId val="{00000000-3CB8-4CB7-B397-F42C7E32D936}"/>
            </c:ext>
          </c:extLst>
        </c:ser>
        <c:ser>
          <c:idx val="1"/>
          <c:order val="1"/>
          <c:tx>
            <c:v>NPS 2025</c:v>
          </c:tx>
          <c:spPr>
            <a:solidFill>
              <a:srgbClr val="6B7280"/>
            </a:solidFill>
            <a:ln w="0">
              <a:solidFill>
                <a:srgbClr val="6B728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'NPS Analysis'!$A$4:$A$6</c:f>
              <c:strCache>
                <c:ptCount val="3"/>
                <c:pt idx="0">
                  <c:v>SC</c:v>
                </c:pt>
                <c:pt idx="1">
                  <c:v>LC+MC</c:v>
                </c:pt>
                <c:pt idx="2">
                  <c:v>ELITE</c:v>
                </c:pt>
              </c:strCache>
            </c:strRef>
          </c:cat>
          <c:val>
            <c:numRef>
              <c:f>'NPS Analysis'!$K$4:$K$6</c:f>
              <c:numCache>
                <c:formatCode>0.0</c:formatCode>
                <c:ptCount val="3"/>
                <c:pt idx="0">
                  <c:v>45.1</c:v>
                </c:pt>
                <c:pt idx="1">
                  <c:v>30.4</c:v>
                </c:pt>
                <c:pt idx="2">
                  <c:v>27.5</c:v>
                </c:pt>
              </c:numCache>
            </c:numRef>
          </c:val>
          <c:extLst>
            <c:ext xmlns:c16="http://schemas.microsoft.com/office/drawing/2014/chart" uri="{C3380CC4-5D6E-409C-BE32-E72D297353CC}">
              <c16:uniqueId val="{00000001-3CB8-4CB7-B397-F42C7E32D936}"/>
            </c:ext>
          </c:extLst>
        </c:ser>
        <c:dLbls>
          <c:showLegendKey val="0"/>
          <c:showVal val="0"/>
          <c:showCatName val="0"/>
          <c:showSerName val="0"/>
          <c:showPercent val="0"/>
          <c:showBubbleSize val="0"/>
        </c:dLbls>
        <c:gapWidth val="150"/>
        <c:axId val="72260700"/>
        <c:axId val="9291199"/>
      </c:barChart>
      <c:catAx>
        <c:axId val="7226070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291199"/>
        <c:crosses val="autoZero"/>
        <c:auto val="1"/>
        <c:lblAlgn val="ctr"/>
        <c:lblOffset val="100"/>
        <c:noMultiLvlLbl val="0"/>
      </c:catAx>
      <c:valAx>
        <c:axId val="9291199"/>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226070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Technology vs other custodians (QC4)</a:t>
            </a:r>
          </a:p>
        </c:rich>
      </c:tx>
      <c:overlay val="0"/>
      <c:spPr>
        <a:noFill/>
        <a:ln w="0">
          <a:noFill/>
        </a:ln>
      </c:spPr>
    </c:title>
    <c:autoTitleDeleted val="0"/>
    <c:plotArea>
      <c:layout/>
      <c:barChart>
        <c:barDir val="bar"/>
        <c:grouping val="clustered"/>
        <c:varyColors val="0"/>
        <c:ser>
          <c:idx val="0"/>
          <c:order val="0"/>
          <c:tx>
            <c:v>Respondents</c:v>
          </c:tx>
          <c:spPr>
            <a:solidFill>
              <a:srgbClr val="1F2937"/>
            </a:solidFill>
            <a:ln w="0">
              <a:solidFill>
                <a:srgbClr val="1F2937"/>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'Gap Analysis'!$A$59:$A$62</c:f>
              <c:strCache>
                <c:ptCount val="4"/>
                <c:pt idx="0">
                  <c:v>A better experience with NBIN</c:v>
                </c:pt>
                <c:pt idx="1">
                  <c:v>A similar experience</c:v>
                </c:pt>
                <c:pt idx="2">
                  <c:v>A worse experience with NBIN</c:v>
                </c:pt>
                <c:pt idx="3">
                  <c:v>It depends</c:v>
                </c:pt>
              </c:strCache>
            </c:strRef>
          </c:cat>
          <c:val>
            <c:numRef>
              <c:f>'Gap Analysis'!$B$59:$B$62</c:f>
              <c:numCache>
                <c:formatCode>General</c:formatCode>
                <c:ptCount val="4"/>
                <c:pt idx="0">
                  <c:v>25</c:v>
                </c:pt>
                <c:pt idx="1">
                  <c:v>22</c:v>
                </c:pt>
                <c:pt idx="2">
                  <c:v>13</c:v>
                </c:pt>
                <c:pt idx="3">
                  <c:v>5</c:v>
                </c:pt>
              </c:numCache>
            </c:numRef>
          </c:val>
          <c:extLst>
            <c:ext xmlns:c16="http://schemas.microsoft.com/office/drawing/2014/chart" uri="{C3380CC4-5D6E-409C-BE32-E72D297353CC}">
              <c16:uniqueId val="{00000000-468F-4689-AC19-16E6CC5DDC6B}"/>
            </c:ext>
          </c:extLst>
        </c:ser>
        <c:dLbls>
          <c:showLegendKey val="0"/>
          <c:showVal val="0"/>
          <c:showCatName val="0"/>
          <c:showSerName val="0"/>
          <c:showPercent val="0"/>
          <c:showBubbleSize val="0"/>
        </c:dLbls>
        <c:gapWidth val="150"/>
        <c:axId val="29850645"/>
        <c:axId val="47381100"/>
      </c:barChart>
      <c:catAx>
        <c:axId val="29850645"/>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7381100"/>
        <c:crosses val="autoZero"/>
        <c:auto val="1"/>
        <c:lblAlgn val="ctr"/>
        <c:lblOffset val="100"/>
        <c:noMultiLvlLbl val="0"/>
      </c:catAx>
      <c:valAx>
        <c:axId val="47381100"/>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985064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175680</xdr:rowOff>
    </xdr:from>
    <xdr:to>
      <xdr:col>17</xdr:col>
      <xdr:colOff>403920</xdr:colOff>
      <xdr:row>22</xdr:row>
      <xdr:rowOff>135000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24</xdr:row>
      <xdr:rowOff>175680</xdr:rowOff>
    </xdr:from>
    <xdr:to>
      <xdr:col>8</xdr:col>
      <xdr:colOff>507600</xdr:colOff>
      <xdr:row>36</xdr:row>
      <xdr:rowOff>49320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24</xdr:row>
      <xdr:rowOff>175680</xdr:rowOff>
    </xdr:from>
    <xdr:to>
      <xdr:col>19</xdr:col>
      <xdr:colOff>364680</xdr:colOff>
      <xdr:row>41</xdr:row>
      <xdr:rowOff>177120</xdr:rowOff>
    </xdr:to>
    <xdr:graphicFrame macro="">
      <xdr:nvGraphicFramePr>
        <xdr:cNvPr id="4" name="Chart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42</xdr:row>
      <xdr:rowOff>175680</xdr:rowOff>
    </xdr:from>
    <xdr:to>
      <xdr:col>19</xdr:col>
      <xdr:colOff>364680</xdr:colOff>
      <xdr:row>59</xdr:row>
      <xdr:rowOff>177120</xdr:rowOff>
    </xdr:to>
    <xdr:graphicFrame macro="">
      <xdr:nvGraphicFramePr>
        <xdr:cNvPr id="5" name="Chart 4">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42</xdr:row>
      <xdr:rowOff>175680</xdr:rowOff>
    </xdr:from>
    <xdr:to>
      <xdr:col>8</xdr:col>
      <xdr:colOff>507600</xdr:colOff>
      <xdr:row>59</xdr:row>
      <xdr:rowOff>177120</xdr:rowOff>
    </xdr:to>
    <xdr:graphicFrame macro="">
      <xdr:nvGraphicFramePr>
        <xdr:cNvPr id="6" name="Chart 5">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60</xdr:row>
      <xdr:rowOff>175680</xdr:rowOff>
    </xdr:from>
    <xdr:to>
      <xdr:col>8</xdr:col>
      <xdr:colOff>507600</xdr:colOff>
      <xdr:row>74</xdr:row>
      <xdr:rowOff>28440</xdr:rowOff>
    </xdr:to>
    <xdr:graphicFrame macro="">
      <xdr:nvGraphicFramePr>
        <xdr:cNvPr id="7" name="Chart 6">
          <a:extLst>
            <a:ext uri="{FF2B5EF4-FFF2-40B4-BE49-F238E27FC236}">
              <a16:creationId xmlns:a16="http://schemas.microsoft.com/office/drawing/2014/main" id="{00000000-0008-0000-0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erbatims" displayName="Verbatims" ref="A1:M1362" totalsRowShown="0">
  <autoFilter ref="A1:M1362" xr:uid="{00000000-0009-0000-0100-000001000000}"/>
  <tableColumns count="13">
    <tableColumn id="1" xr3:uid="{00000000-0010-0000-0000-000001000000}" name="ID"/>
    <tableColumn id="2" xr3:uid="{00000000-0010-0000-0000-000002000000}" name="Firm"/>
    <tableColumn id="3" xr3:uid="{00000000-0010-0000-0000-000003000000}" name="Title"/>
    <tableColumn id="4" xr3:uid="{00000000-0010-0000-0000-000004000000}" name="Region"/>
    <tableColumn id="5" xr3:uid="{00000000-0010-0000-0000-000005000000}" name="Tier"/>
    <tableColumn id="6" xr3:uid="{00000000-0010-0000-0000-000006000000}" name="TierGroup"/>
    <tableColumn id="7" xr3:uid="{00000000-0010-0000-0000-000007000000}" name="Lang"/>
    <tableColumn id="8" xr3:uid="{00000000-0010-0000-0000-000008000000}" name="Source"/>
    <tableColumn id="9" xr3:uid="{00000000-0010-0000-0000-000009000000}" name="RelatedScore"/>
    <tableColumn id="10" xr3:uid="{00000000-0010-0000-0000-00000A000000}" name="Sentiment"/>
    <tableColumn id="11" xr3:uid="{00000000-0010-0000-0000-00000B000000}" name="PrimaryTheme"/>
    <tableColumn id="12" xr3:uid="{00000000-0010-0000-0000-00000C000000}" name="AllThemes"/>
    <tableColumn id="13" xr3:uid="{00000000-0010-0000-0000-00000D000000}" name="Commen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tabSelected="1" zoomScaleNormal="100" workbookViewId="0"/>
  </sheetViews>
  <sheetFormatPr defaultColWidth="8.6328125" defaultRowHeight="14.5" x14ac:dyDescent="0.35"/>
  <cols>
    <col min="1" max="1" width="18" customWidth="1"/>
    <col min="2" max="2" width="130" customWidth="1"/>
  </cols>
  <sheetData>
    <row r="1" spans="1:2" ht="16.5" x14ac:dyDescent="0.35">
      <c r="A1" s="40" t="s">
        <v>104</v>
      </c>
    </row>
    <row r="2" spans="1:2" x14ac:dyDescent="0.35">
      <c r="A2" s="41"/>
      <c r="B2" s="27"/>
    </row>
    <row r="3" spans="1:2" ht="25" x14ac:dyDescent="0.35">
      <c r="A3" s="41" t="s">
        <v>105</v>
      </c>
      <c r="B3" s="27" t="s">
        <v>106</v>
      </c>
    </row>
    <row r="4" spans="1:2" ht="25" x14ac:dyDescent="0.35">
      <c r="A4" s="41" t="s">
        <v>107</v>
      </c>
      <c r="B4" s="27" t="s">
        <v>108</v>
      </c>
    </row>
    <row r="5" spans="1:2" x14ac:dyDescent="0.35">
      <c r="A5" s="41" t="s">
        <v>109</v>
      </c>
      <c r="B5" s="27" t="s">
        <v>110</v>
      </c>
    </row>
    <row r="6" spans="1:2" ht="25" x14ac:dyDescent="0.35">
      <c r="A6" s="41" t="s">
        <v>111</v>
      </c>
      <c r="B6" s="27" t="s">
        <v>112</v>
      </c>
    </row>
    <row r="7" spans="1:2" ht="25" x14ac:dyDescent="0.35">
      <c r="A7" s="41" t="s">
        <v>113</v>
      </c>
      <c r="B7" s="27" t="s">
        <v>114</v>
      </c>
    </row>
    <row r="8" spans="1:2" ht="25" x14ac:dyDescent="0.35">
      <c r="A8" s="41" t="s">
        <v>115</v>
      </c>
      <c r="B8" s="27" t="s">
        <v>116</v>
      </c>
    </row>
    <row r="9" spans="1:2" ht="25" x14ac:dyDescent="0.35">
      <c r="A9" s="41" t="s">
        <v>117</v>
      </c>
      <c r="B9" s="27" t="s">
        <v>118</v>
      </c>
    </row>
    <row r="10" spans="1:2" ht="25" x14ac:dyDescent="0.35">
      <c r="A10" s="41" t="s">
        <v>119</v>
      </c>
      <c r="B10" s="27" t="s">
        <v>120</v>
      </c>
    </row>
    <row r="11" spans="1:2" x14ac:dyDescent="0.35">
      <c r="A11" s="41" t="s">
        <v>121</v>
      </c>
      <c r="B11" s="27" t="s">
        <v>122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8"/>
  <sheetViews>
    <sheetView zoomScaleNormal="100" workbookViewId="0">
      <pane ySplit="3" topLeftCell="A4" activePane="bottomLeft" state="frozen"/>
      <selection pane="bottomLeft"/>
    </sheetView>
  </sheetViews>
  <sheetFormatPr defaultColWidth="8.6328125" defaultRowHeight="14.5" x14ac:dyDescent="0.35"/>
  <cols>
    <col min="1" max="1" width="34" customWidth="1"/>
    <col min="2" max="2" width="25.6328125" customWidth="1"/>
    <col min="3" max="3" width="15" customWidth="1"/>
    <col min="4" max="4" width="14" customWidth="1"/>
    <col min="5" max="5" width="55" customWidth="1"/>
    <col min="6" max="6" width="58" customWidth="1"/>
  </cols>
  <sheetData>
    <row r="1" spans="1:6" ht="19" x14ac:dyDescent="0.4">
      <c r="A1" s="15" t="s">
        <v>0</v>
      </c>
    </row>
    <row r="2" spans="1:6" x14ac:dyDescent="0.35">
      <c r="A2" s="16" t="s">
        <v>1</v>
      </c>
    </row>
    <row r="4" spans="1:6" ht="19.5" customHeight="1" x14ac:dyDescent="0.35">
      <c r="A4" s="14" t="s">
        <v>2</v>
      </c>
      <c r="B4" s="14"/>
      <c r="C4" s="14"/>
      <c r="D4" s="14"/>
      <c r="E4" s="14"/>
      <c r="F4" s="14"/>
    </row>
    <row r="5" spans="1:6" ht="15" customHeight="1" x14ac:dyDescent="0.35">
      <c r="A5" s="17" t="s">
        <v>3</v>
      </c>
      <c r="B5" s="17" t="s">
        <v>4</v>
      </c>
      <c r="C5" s="17" t="s">
        <v>5</v>
      </c>
      <c r="D5" s="17" t="s">
        <v>6</v>
      </c>
      <c r="E5" s="13" t="s">
        <v>7</v>
      </c>
      <c r="F5" s="13"/>
    </row>
    <row r="6" spans="1:6" ht="25.5" customHeight="1" x14ac:dyDescent="0.35">
      <c r="A6" s="18" t="s">
        <v>8</v>
      </c>
      <c r="B6" s="19">
        <f>'NPS Analysis'!H8</f>
        <v>13.584424004214108</v>
      </c>
      <c r="C6" s="20">
        <f>'NPS Analysis'!K8</f>
        <v>30.1</v>
      </c>
      <c r="D6" s="21">
        <f>'NPS Analysis'!L8</f>
        <v>-16.515575995785895</v>
      </c>
      <c r="E6" s="12" t="s">
        <v>9</v>
      </c>
      <c r="F6" s="12"/>
    </row>
    <row r="7" spans="1:6" ht="25.5" customHeight="1" x14ac:dyDescent="0.35">
      <c r="A7" s="18" t="s">
        <v>10</v>
      </c>
      <c r="B7" s="19">
        <f>'NPS Analysis'!H7</f>
        <v>11.917098445595855</v>
      </c>
      <c r="C7" s="22"/>
      <c r="D7" s="22"/>
      <c r="E7" s="12" t="s">
        <v>11</v>
      </c>
      <c r="F7" s="12"/>
    </row>
    <row r="8" spans="1:6" ht="25.5" customHeight="1" x14ac:dyDescent="0.35">
      <c r="A8" s="18" t="s">
        <v>12</v>
      </c>
      <c r="B8" s="19">
        <f>'NPS Analysis'!H6</f>
        <v>18.390804597701148</v>
      </c>
      <c r="C8" s="20">
        <f>'NPS Analysis'!K6</f>
        <v>27.5</v>
      </c>
      <c r="D8" s="21">
        <f>'NPS Analysis'!L6</f>
        <v>-9.1091954022988517</v>
      </c>
      <c r="E8" s="12" t="s">
        <v>13</v>
      </c>
      <c r="F8" s="12"/>
    </row>
    <row r="9" spans="1:6" ht="25.5" customHeight="1" x14ac:dyDescent="0.35">
      <c r="A9" s="18" t="s">
        <v>14</v>
      </c>
      <c r="B9" s="23">
        <f>'Section Scores'!C4</f>
        <v>6.7268041237113403</v>
      </c>
      <c r="C9" s="22"/>
      <c r="D9" s="22"/>
      <c r="E9" s="12" t="s">
        <v>15</v>
      </c>
      <c r="F9" s="12"/>
    </row>
    <row r="10" spans="1:6" ht="25.5" customHeight="1" x14ac:dyDescent="0.35">
      <c r="A10" s="18" t="s">
        <v>16</v>
      </c>
      <c r="B10" s="24">
        <f>'Section Scores'!D4</f>
        <v>0.32989690721649484</v>
      </c>
      <c r="C10" s="22"/>
      <c r="D10" s="22"/>
      <c r="E10" s="12" t="s">
        <v>17</v>
      </c>
      <c r="F10" s="12"/>
    </row>
    <row r="11" spans="1:6" ht="25.5" customHeight="1" x14ac:dyDescent="0.35">
      <c r="A11" s="18" t="s">
        <v>18</v>
      </c>
      <c r="B11" s="24">
        <f>'Theme Stats'!B24/'Theme Stats'!E24</f>
        <v>0.52094048493754597</v>
      </c>
      <c r="C11" s="22"/>
      <c r="D11" s="22"/>
      <c r="E11" s="12" t="s">
        <v>19</v>
      </c>
      <c r="F11" s="12"/>
    </row>
    <row r="12" spans="1:6" ht="25.5" customHeight="1" x14ac:dyDescent="0.35">
      <c r="A12" s="18" t="s">
        <v>20</v>
      </c>
      <c r="B12" s="23">
        <f>'Section Scores'!C5</f>
        <v>8.5510204081632661</v>
      </c>
      <c r="C12" s="22"/>
      <c r="D12" s="25">
        <f>'Section Scores'!G5</f>
        <v>1.8242162844519259</v>
      </c>
      <c r="E12" s="11" t="s">
        <v>21</v>
      </c>
      <c r="F12" s="11"/>
    </row>
    <row r="13" spans="1:6" ht="25.5" customHeight="1" x14ac:dyDescent="0.35">
      <c r="A13" s="18" t="s">
        <v>22</v>
      </c>
      <c r="B13" s="23">
        <f>'Section Scores'!C8</f>
        <v>6.5</v>
      </c>
      <c r="C13" s="22"/>
      <c r="D13" s="25">
        <f>'Section Scores'!G8</f>
        <v>-0.22680412371134029</v>
      </c>
      <c r="E13" s="12" t="s">
        <v>23</v>
      </c>
      <c r="F13" s="12"/>
    </row>
    <row r="14" spans="1:6" ht="25.5" customHeight="1" x14ac:dyDescent="0.35">
      <c r="A14" s="18" t="s">
        <v>24</v>
      </c>
      <c r="B14" s="24">
        <f>COUNTIF('Score Data'!$O$2:$O$195,"A better*")/COUNTIF('Score Data'!$O$2:$O$195,"?*")</f>
        <v>0.38461538461538464</v>
      </c>
      <c r="C14" s="22"/>
      <c r="D14" s="22"/>
      <c r="E14" s="11" t="s">
        <v>25</v>
      </c>
      <c r="F14" s="11"/>
    </row>
    <row r="15" spans="1:6" ht="25.5" customHeight="1" x14ac:dyDescent="0.35">
      <c r="A15" s="18" t="s">
        <v>26</v>
      </c>
      <c r="B15" s="26">
        <f>COUNTIF('Score Data'!$G$2:$G$195,"&lt;=3")</f>
        <v>16</v>
      </c>
      <c r="C15" s="22"/>
      <c r="D15" s="22"/>
      <c r="E15" s="12" t="s">
        <v>27</v>
      </c>
      <c r="F15" s="12"/>
    </row>
    <row r="17" spans="1:6" ht="19.5" customHeight="1" x14ac:dyDescent="0.35">
      <c r="A17" s="14" t="s">
        <v>28</v>
      </c>
      <c r="B17" s="14"/>
      <c r="C17" s="14"/>
      <c r="D17" s="14"/>
      <c r="E17" s="14"/>
      <c r="F17" s="14"/>
    </row>
    <row r="18" spans="1:6" ht="42" customHeight="1" x14ac:dyDescent="0.35">
      <c r="A18" s="10" t="s">
        <v>29</v>
      </c>
      <c r="B18" s="10"/>
      <c r="C18" s="10"/>
      <c r="D18" s="10"/>
      <c r="E18" s="10"/>
      <c r="F18" s="10"/>
    </row>
    <row r="19" spans="1:6" ht="42" customHeight="1" x14ac:dyDescent="0.35">
      <c r="A19" s="10" t="s">
        <v>30</v>
      </c>
      <c r="B19" s="10"/>
      <c r="C19" s="10"/>
      <c r="D19" s="10"/>
      <c r="E19" s="10"/>
      <c r="F19" s="10"/>
    </row>
    <row r="20" spans="1:6" ht="42" customHeight="1" x14ac:dyDescent="0.35">
      <c r="A20" s="10" t="s">
        <v>31</v>
      </c>
      <c r="B20" s="10"/>
      <c r="C20" s="10"/>
      <c r="D20" s="10"/>
      <c r="E20" s="10"/>
      <c r="F20" s="10"/>
    </row>
    <row r="21" spans="1:6" ht="42" customHeight="1" x14ac:dyDescent="0.35">
      <c r="A21" s="10" t="s">
        <v>32</v>
      </c>
      <c r="B21" s="10"/>
      <c r="C21" s="10"/>
      <c r="D21" s="10"/>
      <c r="E21" s="10"/>
      <c r="F21" s="10"/>
    </row>
    <row r="22" spans="1:6" ht="42" customHeight="1" x14ac:dyDescent="0.35">
      <c r="A22" s="10" t="s">
        <v>33</v>
      </c>
      <c r="B22" s="10"/>
      <c r="C22" s="10"/>
      <c r="D22" s="10"/>
      <c r="E22" s="10"/>
      <c r="F22" s="10"/>
    </row>
    <row r="23" spans="1:6" ht="42" customHeight="1" x14ac:dyDescent="0.35">
      <c r="A23" s="10" t="s">
        <v>34</v>
      </c>
      <c r="B23" s="10"/>
      <c r="C23" s="10"/>
      <c r="D23" s="10"/>
      <c r="E23" s="10"/>
      <c r="F23" s="10"/>
    </row>
    <row r="24" spans="1:6" ht="42" customHeight="1" x14ac:dyDescent="0.35">
      <c r="A24" s="10" t="s">
        <v>35</v>
      </c>
      <c r="B24" s="10"/>
      <c r="C24" s="10"/>
      <c r="D24" s="10"/>
      <c r="E24" s="10"/>
      <c r="F24" s="10"/>
    </row>
    <row r="26" spans="1:6" ht="19.5" customHeight="1" x14ac:dyDescent="0.35">
      <c r="A26" s="9" t="s">
        <v>36</v>
      </c>
      <c r="B26" s="9"/>
      <c r="C26" s="9"/>
      <c r="D26" s="9"/>
      <c r="E26" s="9"/>
      <c r="F26" s="9"/>
    </row>
    <row r="27" spans="1:6" x14ac:dyDescent="0.35">
      <c r="A27" s="17" t="s">
        <v>37</v>
      </c>
      <c r="B27" s="17" t="s">
        <v>38</v>
      </c>
      <c r="C27" s="17" t="s">
        <v>39</v>
      </c>
      <c r="D27" s="17" t="s">
        <v>40</v>
      </c>
      <c r="E27" s="17" t="s">
        <v>41</v>
      </c>
      <c r="F27" s="17" t="s">
        <v>42</v>
      </c>
    </row>
    <row r="28" spans="1:6" ht="43.5" customHeight="1" x14ac:dyDescent="0.35">
      <c r="A28" s="28" t="s">
        <v>43</v>
      </c>
      <c r="B28" s="29" t="s">
        <v>44</v>
      </c>
      <c r="C28" s="30">
        <f>'Theme Stats'!B5</f>
        <v>165</v>
      </c>
      <c r="D28" s="30">
        <f>'Theme Stats'!G5</f>
        <v>-122</v>
      </c>
      <c r="E28" s="31" t="s">
        <v>45</v>
      </c>
      <c r="F28" s="31" t="s">
        <v>46</v>
      </c>
    </row>
    <row r="29" spans="1:6" ht="43.5" customHeight="1" x14ac:dyDescent="0.35">
      <c r="A29" s="28" t="s">
        <v>43</v>
      </c>
      <c r="B29" s="29" t="s">
        <v>47</v>
      </c>
      <c r="C29" s="30">
        <f>'Theme Stats'!B17</f>
        <v>16</v>
      </c>
      <c r="D29" s="30">
        <f>'Theme Stats'!G17</f>
        <v>-5</v>
      </c>
      <c r="E29" s="31" t="s">
        <v>48</v>
      </c>
      <c r="F29" s="31" t="s">
        <v>49</v>
      </c>
    </row>
    <row r="30" spans="1:6" ht="43.5" customHeight="1" x14ac:dyDescent="0.35">
      <c r="A30" s="28" t="s">
        <v>43</v>
      </c>
      <c r="B30" s="29" t="s">
        <v>50</v>
      </c>
      <c r="C30" s="30">
        <f>'Theme Stats'!B11</f>
        <v>52</v>
      </c>
      <c r="D30" s="30">
        <f>'Theme Stats'!G11</f>
        <v>-45</v>
      </c>
      <c r="E30" s="31" t="s">
        <v>51</v>
      </c>
      <c r="F30" s="31" t="s">
        <v>52</v>
      </c>
    </row>
    <row r="31" spans="1:6" ht="43.5" customHeight="1" x14ac:dyDescent="0.35">
      <c r="A31" s="28" t="s">
        <v>43</v>
      </c>
      <c r="B31" s="29" t="s">
        <v>53</v>
      </c>
      <c r="C31" s="30">
        <f>'Theme Stats'!B14</f>
        <v>31</v>
      </c>
      <c r="D31" s="30">
        <f>'Theme Stats'!G14</f>
        <v>-27</v>
      </c>
      <c r="E31" s="31" t="s">
        <v>54</v>
      </c>
      <c r="F31" s="31" t="s">
        <v>55</v>
      </c>
    </row>
    <row r="32" spans="1:6" ht="43.5" customHeight="1" x14ac:dyDescent="0.35">
      <c r="A32" s="32" t="s">
        <v>56</v>
      </c>
      <c r="B32" s="18" t="s">
        <v>57</v>
      </c>
      <c r="C32" s="22">
        <f>'Theme Stats'!B4</f>
        <v>131</v>
      </c>
      <c r="D32" s="22">
        <f>'Theme Stats'!G4</f>
        <v>-46</v>
      </c>
      <c r="E32" s="33" t="s">
        <v>58</v>
      </c>
      <c r="F32" s="33" t="s">
        <v>59</v>
      </c>
    </row>
    <row r="33" spans="1:6" ht="43.5" customHeight="1" x14ac:dyDescent="0.35">
      <c r="A33" s="32" t="s">
        <v>56</v>
      </c>
      <c r="B33" s="18" t="s">
        <v>60</v>
      </c>
      <c r="C33" s="22">
        <f>'Theme Stats'!B10</f>
        <v>27</v>
      </c>
      <c r="D33" s="22">
        <f>'Theme Stats'!G10</f>
        <v>8</v>
      </c>
      <c r="E33" s="33" t="s">
        <v>61</v>
      </c>
      <c r="F33" s="33" t="s">
        <v>62</v>
      </c>
    </row>
    <row r="34" spans="1:6" ht="43.5" customHeight="1" x14ac:dyDescent="0.35">
      <c r="A34" s="32" t="s">
        <v>56</v>
      </c>
      <c r="B34" s="18" t="s">
        <v>63</v>
      </c>
      <c r="C34" s="22">
        <f>'Theme Stats'!B12</f>
        <v>39</v>
      </c>
      <c r="D34" s="22">
        <f>'Theme Stats'!G12</f>
        <v>-26</v>
      </c>
      <c r="E34" s="33" t="s">
        <v>64</v>
      </c>
      <c r="F34" s="33" t="s">
        <v>65</v>
      </c>
    </row>
    <row r="35" spans="1:6" ht="43.5" customHeight="1" x14ac:dyDescent="0.35">
      <c r="A35" s="34" t="s">
        <v>66</v>
      </c>
      <c r="B35" s="35" t="s">
        <v>67</v>
      </c>
      <c r="C35" s="36">
        <f>'Theme Stats'!B16</f>
        <v>21</v>
      </c>
      <c r="D35" s="36">
        <f>'Theme Stats'!G16</f>
        <v>-10</v>
      </c>
      <c r="E35" s="37" t="s">
        <v>68</v>
      </c>
      <c r="F35" s="37" t="s">
        <v>69</v>
      </c>
    </row>
    <row r="36" spans="1:6" ht="43.5" customHeight="1" x14ac:dyDescent="0.35">
      <c r="A36" s="34" t="s">
        <v>66</v>
      </c>
      <c r="B36" s="35" t="s">
        <v>70</v>
      </c>
      <c r="C36" s="36">
        <f>'Theme Stats'!B18+'Theme Stats'!B15</f>
        <v>36</v>
      </c>
      <c r="D36" s="36">
        <f>'Theme Stats'!G18+'Theme Stats'!G15</f>
        <v>-15</v>
      </c>
      <c r="E36" s="37" t="s">
        <v>71</v>
      </c>
      <c r="F36" s="37" t="s">
        <v>72</v>
      </c>
    </row>
    <row r="38" spans="1:6" ht="19.5" customHeight="1" x14ac:dyDescent="0.35">
      <c r="A38" s="8" t="s">
        <v>73</v>
      </c>
      <c r="B38" s="8"/>
      <c r="C38" s="8"/>
      <c r="D38" s="8"/>
      <c r="E38" s="8"/>
      <c r="F38" s="8"/>
    </row>
    <row r="39" spans="1:6" ht="15" customHeight="1" x14ac:dyDescent="0.35">
      <c r="A39" s="38" t="s">
        <v>38</v>
      </c>
      <c r="B39" s="7" t="s">
        <v>74</v>
      </c>
      <c r="C39" s="7"/>
      <c r="D39" s="7" t="s">
        <v>75</v>
      </c>
      <c r="E39" s="7"/>
      <c r="F39" s="7"/>
    </row>
    <row r="40" spans="1:6" ht="30" customHeight="1" x14ac:dyDescent="0.35">
      <c r="A40" s="39" t="s">
        <v>76</v>
      </c>
      <c r="B40" s="6">
        <f>'Section Scores'!C5</f>
        <v>8.5510204081632661</v>
      </c>
      <c r="C40" s="6"/>
      <c r="D40" s="5" t="s">
        <v>77</v>
      </c>
      <c r="E40" s="5"/>
      <c r="F40" s="5"/>
    </row>
    <row r="41" spans="1:6" ht="30" customHeight="1" x14ac:dyDescent="0.35">
      <c r="A41" s="39" t="s">
        <v>78</v>
      </c>
      <c r="B41" s="4">
        <f>'Theme Stats'!G7</f>
        <v>59</v>
      </c>
      <c r="C41" s="4"/>
      <c r="D41" s="5" t="s">
        <v>79</v>
      </c>
      <c r="E41" s="5"/>
      <c r="F41" s="5"/>
    </row>
    <row r="42" spans="1:6" ht="30" customHeight="1" x14ac:dyDescent="0.35">
      <c r="A42" s="39" t="s">
        <v>80</v>
      </c>
      <c r="B42" s="4">
        <f>'Theme Stats'!G13</f>
        <v>41</v>
      </c>
      <c r="C42" s="4"/>
      <c r="D42" s="5" t="s">
        <v>81</v>
      </c>
      <c r="E42" s="5"/>
      <c r="F42" s="5"/>
    </row>
    <row r="43" spans="1:6" ht="30" customHeight="1" x14ac:dyDescent="0.35">
      <c r="A43" s="39" t="s">
        <v>82</v>
      </c>
      <c r="B43" s="4">
        <f>'Theme Stats'!G19</f>
        <v>13</v>
      </c>
      <c r="C43" s="4"/>
      <c r="D43" s="5" t="s">
        <v>83</v>
      </c>
      <c r="E43" s="5"/>
      <c r="F43" s="5"/>
    </row>
    <row r="44" spans="1:6" ht="30" customHeight="1" x14ac:dyDescent="0.35">
      <c r="A44" s="39" t="s">
        <v>84</v>
      </c>
      <c r="B44" s="3">
        <f>'Theme Stats'!E20</f>
        <v>17</v>
      </c>
      <c r="C44" s="3"/>
      <c r="D44" s="5" t="s">
        <v>85</v>
      </c>
      <c r="E44" s="5"/>
      <c r="F44" s="5"/>
    </row>
    <row r="45" spans="1:6" ht="30" customHeight="1" x14ac:dyDescent="0.35">
      <c r="A45" s="39" t="s">
        <v>86</v>
      </c>
      <c r="B45" s="3">
        <f>'Theme Stats'!E23+'Theme Stats'!E22</f>
        <v>19</v>
      </c>
      <c r="C45" s="3"/>
      <c r="D45" s="5" t="s">
        <v>87</v>
      </c>
      <c r="E45" s="5"/>
      <c r="F45" s="5"/>
    </row>
    <row r="46" spans="1:6" ht="30" customHeight="1" x14ac:dyDescent="0.35">
      <c r="A46" s="39" t="s">
        <v>88</v>
      </c>
      <c r="B46" s="2">
        <f>COUNTIF('Score Data'!$O$2:$O$195,"A worse*")/COUNTIF('Score Data'!$O$2:$O$195,"?*")</f>
        <v>0.2</v>
      </c>
      <c r="C46" s="2"/>
      <c r="D46" s="5" t="s">
        <v>89</v>
      </c>
      <c r="E46" s="5"/>
      <c r="F46" s="5"/>
    </row>
    <row r="48" spans="1:6" ht="19.5" customHeight="1" x14ac:dyDescent="0.35">
      <c r="A48" s="9" t="s">
        <v>90</v>
      </c>
      <c r="B48" s="9"/>
      <c r="C48" s="9"/>
      <c r="D48" s="9"/>
      <c r="E48" s="9"/>
      <c r="F48" s="9"/>
    </row>
    <row r="49" spans="1:6" ht="30" customHeight="1" x14ac:dyDescent="0.35">
      <c r="A49" s="18" t="s">
        <v>91</v>
      </c>
      <c r="B49" s="22"/>
      <c r="C49" s="1" t="s">
        <v>92</v>
      </c>
      <c r="D49" s="1"/>
      <c r="E49" s="1"/>
      <c r="F49" s="1"/>
    </row>
    <row r="50" spans="1:6" ht="30" customHeight="1" x14ac:dyDescent="0.35">
      <c r="A50" s="18" t="s">
        <v>93</v>
      </c>
      <c r="B50" s="19">
        <f>(COUNTIFS('Score Data'!$N$2:$N$195,"&gt;=9",'Score Data'!$D$2:$D$195,"West")-COUNTIFS('Score Data'!$N$2:$N$195,"&lt;=6",'Score Data'!$D$2:$D$195,"West"))/COUNTIFS('Score Data'!$N$2:$N$195,"&gt;=1",'Score Data'!$D$2:$D$195,"West")*100</f>
        <v>-10</v>
      </c>
      <c r="C50" s="1" t="s">
        <v>94</v>
      </c>
      <c r="D50" s="1"/>
      <c r="E50" s="1"/>
      <c r="F50" s="1"/>
    </row>
    <row r="51" spans="1:6" ht="30" customHeight="1" x14ac:dyDescent="0.35">
      <c r="A51" s="18" t="s">
        <v>95</v>
      </c>
      <c r="B51" s="19">
        <f>(COUNTIFS('Score Data'!$N$2:$N$195,"&gt;=9",'Score Data'!$B$2:$B$195,"IB")-COUNTIFS('Score Data'!$N$2:$N$195,"&lt;=6",'Score Data'!$B$2:$B$195,"IB"))/COUNTIFS('Score Data'!$N$2:$N$195,"&gt;=1",'Score Data'!$B$2:$B$195,"IB")*100</f>
        <v>4.6511627906976747</v>
      </c>
      <c r="C51" s="1" t="s">
        <v>96</v>
      </c>
      <c r="D51" s="1"/>
      <c r="E51" s="1"/>
      <c r="F51" s="1"/>
    </row>
    <row r="52" spans="1:6" ht="30" customHeight="1" x14ac:dyDescent="0.35">
      <c r="A52" s="18" t="s">
        <v>97</v>
      </c>
      <c r="B52" s="26">
        <f>COUNTIF('Score Data'!$G$2:$G$195,"&lt;=3")</f>
        <v>16</v>
      </c>
      <c r="C52" s="1" t="s">
        <v>98</v>
      </c>
      <c r="D52" s="1"/>
      <c r="E52" s="1"/>
      <c r="F52" s="1"/>
    </row>
    <row r="53" spans="1:6" ht="30" customHeight="1" x14ac:dyDescent="0.35">
      <c r="A53" s="18" t="s">
        <v>99</v>
      </c>
      <c r="B53" s="22"/>
      <c r="C53" s="1" t="s">
        <v>100</v>
      </c>
      <c r="D53" s="1"/>
      <c r="E53" s="1"/>
      <c r="F53" s="1"/>
    </row>
    <row r="55" spans="1:6" ht="19.5" customHeight="1" x14ac:dyDescent="0.35">
      <c r="A55" s="14" t="s">
        <v>101</v>
      </c>
      <c r="B55" s="14"/>
      <c r="C55" s="14"/>
      <c r="D55" s="14"/>
      <c r="E55" s="14"/>
      <c r="F55" s="14"/>
    </row>
    <row r="56" spans="1:6" ht="43.5" customHeight="1" x14ac:dyDescent="0.35">
      <c r="A56" s="10" t="s">
        <v>102</v>
      </c>
      <c r="B56" s="10"/>
      <c r="C56" s="10"/>
      <c r="D56" s="10"/>
      <c r="E56" s="10"/>
      <c r="F56" s="10"/>
    </row>
    <row r="58" spans="1:6" ht="39.75" customHeight="1" x14ac:dyDescent="0.35">
      <c r="A58" s="51" t="s">
        <v>103</v>
      </c>
      <c r="B58" s="51"/>
      <c r="C58" s="51"/>
      <c r="D58" s="51"/>
      <c r="E58" s="51"/>
      <c r="F58" s="51"/>
    </row>
  </sheetData>
  <mergeCells count="47">
    <mergeCell ref="C53:F53"/>
    <mergeCell ref="A55:F55"/>
    <mergeCell ref="A56:F56"/>
    <mergeCell ref="A58:F58"/>
    <mergeCell ref="A48:F48"/>
    <mergeCell ref="C49:F49"/>
    <mergeCell ref="C50:F50"/>
    <mergeCell ref="C51:F51"/>
    <mergeCell ref="C52:F52"/>
    <mergeCell ref="B44:C44"/>
    <mergeCell ref="D44:F44"/>
    <mergeCell ref="B45:C45"/>
    <mergeCell ref="D45:F45"/>
    <mergeCell ref="B46:C46"/>
    <mergeCell ref="D46:F46"/>
    <mergeCell ref="B41:C41"/>
    <mergeCell ref="D41:F41"/>
    <mergeCell ref="B42:C42"/>
    <mergeCell ref="D42:F42"/>
    <mergeCell ref="B43:C43"/>
    <mergeCell ref="D43:F43"/>
    <mergeCell ref="A26:F26"/>
    <mergeCell ref="A38:F38"/>
    <mergeCell ref="B39:C39"/>
    <mergeCell ref="D39:F39"/>
    <mergeCell ref="B40:C40"/>
    <mergeCell ref="D40:F40"/>
    <mergeCell ref="A20:F20"/>
    <mergeCell ref="A21:F21"/>
    <mergeCell ref="A22:F22"/>
    <mergeCell ref="A23:F23"/>
    <mergeCell ref="A24:F24"/>
    <mergeCell ref="E14:F14"/>
    <mergeCell ref="E15:F15"/>
    <mergeCell ref="A17:F17"/>
    <mergeCell ref="A18:F18"/>
    <mergeCell ref="A19:F19"/>
    <mergeCell ref="E9:F9"/>
    <mergeCell ref="E10:F10"/>
    <mergeCell ref="E11:F11"/>
    <mergeCell ref="E12:F12"/>
    <mergeCell ref="E13:F13"/>
    <mergeCell ref="A4:F4"/>
    <mergeCell ref="E5:F5"/>
    <mergeCell ref="E6:F6"/>
    <mergeCell ref="E7:F7"/>
    <mergeCell ref="E8:F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62"/>
  <sheetViews>
    <sheetView zoomScaleNormal="100" workbookViewId="0">
      <pane ySplit="1" topLeftCell="A2" activePane="bottomLeft" state="frozen"/>
      <selection pane="bottomLeft"/>
    </sheetView>
  </sheetViews>
  <sheetFormatPr defaultColWidth="8.6328125" defaultRowHeight="14.5" x14ac:dyDescent="0.35"/>
  <cols>
    <col min="1" max="1" width="7" customWidth="1"/>
    <col min="2" max="2" width="6" customWidth="1"/>
    <col min="3" max="3" width="17" customWidth="1"/>
    <col min="4" max="4" width="8" customWidth="1"/>
    <col min="5" max="5" width="7" customWidth="1"/>
    <col min="6" max="6" width="10" customWidth="1"/>
    <col min="7" max="7" width="8" customWidth="1"/>
    <col min="8" max="8" width="26" customWidth="1"/>
    <col min="9" max="9" width="7" customWidth="1"/>
    <col min="10" max="10" width="10" customWidth="1"/>
    <col min="11" max="11" width="30" customWidth="1"/>
    <col min="12" max="12" width="40" customWidth="1"/>
    <col min="13" max="13" width="95" customWidth="1"/>
  </cols>
  <sheetData>
    <row r="1" spans="1:13" ht="26" x14ac:dyDescent="0.35">
      <c r="A1" s="38" t="s">
        <v>123</v>
      </c>
      <c r="B1" s="38" t="s">
        <v>124</v>
      </c>
      <c r="C1" s="38" t="s">
        <v>125</v>
      </c>
      <c r="D1" s="38" t="s">
        <v>126</v>
      </c>
      <c r="E1" s="38" t="s">
        <v>127</v>
      </c>
      <c r="F1" s="38" t="s">
        <v>128</v>
      </c>
      <c r="G1" s="38" t="s">
        <v>129</v>
      </c>
      <c r="H1" s="38" t="s">
        <v>130</v>
      </c>
      <c r="I1" s="38" t="s">
        <v>131</v>
      </c>
      <c r="J1" s="38" t="s">
        <v>132</v>
      </c>
      <c r="K1" s="38" t="s">
        <v>133</v>
      </c>
      <c r="L1" s="38" t="s">
        <v>134</v>
      </c>
      <c r="M1" s="38" t="s">
        <v>135</v>
      </c>
    </row>
    <row r="2" spans="1:13" x14ac:dyDescent="0.35">
      <c r="A2" s="42">
        <v>787</v>
      </c>
      <c r="B2" s="42" t="s">
        <v>136</v>
      </c>
      <c r="C2" s="42" t="s">
        <v>137</v>
      </c>
      <c r="D2" s="42" t="s">
        <v>138</v>
      </c>
      <c r="E2" s="42" t="s">
        <v>139</v>
      </c>
      <c r="F2" s="42" t="s">
        <v>140</v>
      </c>
      <c r="G2" s="42" t="s">
        <v>141</v>
      </c>
      <c r="H2" s="42" t="s">
        <v>142</v>
      </c>
      <c r="I2" s="42">
        <v>6</v>
      </c>
      <c r="J2" s="43" t="s">
        <v>143</v>
      </c>
      <c r="K2" s="42" t="s">
        <v>144</v>
      </c>
      <c r="L2" s="42" t="s">
        <v>144</v>
      </c>
      <c r="M2" s="44" t="s">
        <v>145</v>
      </c>
    </row>
    <row r="3" spans="1:13" x14ac:dyDescent="0.35">
      <c r="A3" s="42">
        <v>787</v>
      </c>
      <c r="B3" s="42" t="s">
        <v>136</v>
      </c>
      <c r="C3" s="42" t="s">
        <v>137</v>
      </c>
      <c r="D3" s="42" t="s">
        <v>138</v>
      </c>
      <c r="E3" s="42" t="s">
        <v>139</v>
      </c>
      <c r="F3" s="42" t="s">
        <v>140</v>
      </c>
      <c r="G3" s="42" t="s">
        <v>141</v>
      </c>
      <c r="H3" s="42" t="s">
        <v>146</v>
      </c>
      <c r="I3" s="42">
        <v>10</v>
      </c>
      <c r="J3" s="45" t="s">
        <v>147</v>
      </c>
      <c r="K3" s="42" t="s">
        <v>144</v>
      </c>
      <c r="L3" s="42" t="s">
        <v>148</v>
      </c>
      <c r="M3" s="44" t="s">
        <v>149</v>
      </c>
    </row>
    <row r="4" spans="1:13" x14ac:dyDescent="0.35">
      <c r="A4" s="42">
        <v>787</v>
      </c>
      <c r="B4" s="42" t="s">
        <v>136</v>
      </c>
      <c r="C4" s="42" t="s">
        <v>137</v>
      </c>
      <c r="D4" s="42" t="s">
        <v>138</v>
      </c>
      <c r="E4" s="42" t="s">
        <v>139</v>
      </c>
      <c r="F4" s="42" t="s">
        <v>140</v>
      </c>
      <c r="G4" s="42" t="s">
        <v>141</v>
      </c>
      <c r="H4" s="42" t="s">
        <v>150</v>
      </c>
      <c r="I4" s="42"/>
      <c r="J4" s="45" t="s">
        <v>147</v>
      </c>
      <c r="K4" s="42" t="s">
        <v>78</v>
      </c>
      <c r="L4" s="42" t="s">
        <v>151</v>
      </c>
      <c r="M4" s="44" t="s">
        <v>152</v>
      </c>
    </row>
    <row r="5" spans="1:13" x14ac:dyDescent="0.35">
      <c r="A5" s="42">
        <v>787</v>
      </c>
      <c r="B5" s="42" t="s">
        <v>136</v>
      </c>
      <c r="C5" s="42" t="s">
        <v>137</v>
      </c>
      <c r="D5" s="42" t="s">
        <v>138</v>
      </c>
      <c r="E5" s="42" t="s">
        <v>139</v>
      </c>
      <c r="F5" s="42" t="s">
        <v>140</v>
      </c>
      <c r="G5" s="42" t="s">
        <v>141</v>
      </c>
      <c r="H5" s="42" t="s">
        <v>150</v>
      </c>
      <c r="I5" s="42"/>
      <c r="J5" s="45" t="s">
        <v>147</v>
      </c>
      <c r="K5" s="42" t="s">
        <v>78</v>
      </c>
      <c r="L5" s="42" t="s">
        <v>78</v>
      </c>
      <c r="M5" s="44" t="s">
        <v>153</v>
      </c>
    </row>
    <row r="6" spans="1:13" x14ac:dyDescent="0.35">
      <c r="A6" s="42">
        <v>787</v>
      </c>
      <c r="B6" s="42" t="s">
        <v>136</v>
      </c>
      <c r="C6" s="42" t="s">
        <v>137</v>
      </c>
      <c r="D6" s="42" t="s">
        <v>138</v>
      </c>
      <c r="E6" s="42" t="s">
        <v>139</v>
      </c>
      <c r="F6" s="42" t="s">
        <v>140</v>
      </c>
      <c r="G6" s="42" t="s">
        <v>141</v>
      </c>
      <c r="H6" s="42" t="s">
        <v>150</v>
      </c>
      <c r="I6" s="42"/>
      <c r="J6" s="45" t="s">
        <v>147</v>
      </c>
      <c r="K6" s="42" t="s">
        <v>80</v>
      </c>
      <c r="L6" s="42" t="s">
        <v>80</v>
      </c>
      <c r="M6" s="44" t="s">
        <v>154</v>
      </c>
    </row>
    <row r="7" spans="1:13" x14ac:dyDescent="0.35">
      <c r="A7" s="42">
        <v>787</v>
      </c>
      <c r="B7" s="42" t="s">
        <v>136</v>
      </c>
      <c r="C7" s="42" t="s">
        <v>137</v>
      </c>
      <c r="D7" s="42" t="s">
        <v>138</v>
      </c>
      <c r="E7" s="42" t="s">
        <v>139</v>
      </c>
      <c r="F7" s="42" t="s">
        <v>140</v>
      </c>
      <c r="G7" s="42" t="s">
        <v>141</v>
      </c>
      <c r="H7" s="42" t="s">
        <v>150</v>
      </c>
      <c r="I7" s="42"/>
      <c r="J7" s="45" t="s">
        <v>147</v>
      </c>
      <c r="K7" s="42" t="s">
        <v>80</v>
      </c>
      <c r="L7" s="42" t="s">
        <v>80</v>
      </c>
      <c r="M7" s="44" t="s">
        <v>155</v>
      </c>
    </row>
    <row r="8" spans="1:13" x14ac:dyDescent="0.35">
      <c r="A8" s="42">
        <v>787</v>
      </c>
      <c r="B8" s="42" t="s">
        <v>136</v>
      </c>
      <c r="C8" s="42" t="s">
        <v>137</v>
      </c>
      <c r="D8" s="42" t="s">
        <v>138</v>
      </c>
      <c r="E8" s="42" t="s">
        <v>139</v>
      </c>
      <c r="F8" s="42" t="s">
        <v>140</v>
      </c>
      <c r="G8" s="42" t="s">
        <v>141</v>
      </c>
      <c r="H8" s="42" t="s">
        <v>156</v>
      </c>
      <c r="I8" s="42"/>
      <c r="J8" s="43" t="s">
        <v>143</v>
      </c>
      <c r="K8" s="42" t="s">
        <v>144</v>
      </c>
      <c r="L8" s="42" t="s">
        <v>144</v>
      </c>
      <c r="M8" s="44" t="s">
        <v>157</v>
      </c>
    </row>
    <row r="9" spans="1:13" x14ac:dyDescent="0.35">
      <c r="A9" s="42">
        <v>787</v>
      </c>
      <c r="B9" s="42" t="s">
        <v>136</v>
      </c>
      <c r="C9" s="42" t="s">
        <v>137</v>
      </c>
      <c r="D9" s="42" t="s">
        <v>138</v>
      </c>
      <c r="E9" s="42" t="s">
        <v>139</v>
      </c>
      <c r="F9" s="42" t="s">
        <v>140</v>
      </c>
      <c r="G9" s="42" t="s">
        <v>141</v>
      </c>
      <c r="H9" s="42" t="s">
        <v>156</v>
      </c>
      <c r="I9" s="42"/>
      <c r="J9" s="43" t="s">
        <v>143</v>
      </c>
      <c r="K9" s="42" t="s">
        <v>144</v>
      </c>
      <c r="L9" s="42" t="s">
        <v>144</v>
      </c>
      <c r="M9" s="44" t="s">
        <v>158</v>
      </c>
    </row>
    <row r="10" spans="1:13" ht="37.5" x14ac:dyDescent="0.35">
      <c r="A10" s="42">
        <v>1282</v>
      </c>
      <c r="B10" s="42" t="s">
        <v>136</v>
      </c>
      <c r="C10" s="42" t="s">
        <v>137</v>
      </c>
      <c r="D10" s="42" t="s">
        <v>159</v>
      </c>
      <c r="E10" s="42" t="s">
        <v>160</v>
      </c>
      <c r="F10" s="42" t="s">
        <v>160</v>
      </c>
      <c r="G10" s="42" t="s">
        <v>141</v>
      </c>
      <c r="H10" s="42" t="s">
        <v>142</v>
      </c>
      <c r="I10" s="42">
        <v>6</v>
      </c>
      <c r="J10" s="43" t="s">
        <v>143</v>
      </c>
      <c r="K10" s="42" t="s">
        <v>144</v>
      </c>
      <c r="L10" s="42" t="s">
        <v>161</v>
      </c>
      <c r="M10" s="44" t="s">
        <v>162</v>
      </c>
    </row>
    <row r="11" spans="1:13" x14ac:dyDescent="0.35">
      <c r="A11" s="42">
        <v>1282</v>
      </c>
      <c r="B11" s="42" t="s">
        <v>136</v>
      </c>
      <c r="C11" s="42" t="s">
        <v>137</v>
      </c>
      <c r="D11" s="42" t="s">
        <v>159</v>
      </c>
      <c r="E11" s="42" t="s">
        <v>160</v>
      </c>
      <c r="F11" s="42" t="s">
        <v>160</v>
      </c>
      <c r="G11" s="42" t="s">
        <v>141</v>
      </c>
      <c r="H11" s="42" t="s">
        <v>163</v>
      </c>
      <c r="I11" s="42"/>
      <c r="J11" s="43" t="s">
        <v>143</v>
      </c>
      <c r="K11" s="42" t="s">
        <v>144</v>
      </c>
      <c r="L11" s="42" t="s">
        <v>164</v>
      </c>
      <c r="M11" s="44" t="s">
        <v>165</v>
      </c>
    </row>
    <row r="12" spans="1:13" ht="37.5" x14ac:dyDescent="0.35">
      <c r="A12" s="42">
        <v>1282</v>
      </c>
      <c r="B12" s="42" t="s">
        <v>136</v>
      </c>
      <c r="C12" s="42" t="s">
        <v>137</v>
      </c>
      <c r="D12" s="42" t="s">
        <v>159</v>
      </c>
      <c r="E12" s="42" t="s">
        <v>160</v>
      </c>
      <c r="F12" s="42" t="s">
        <v>160</v>
      </c>
      <c r="G12" s="42" t="s">
        <v>141</v>
      </c>
      <c r="H12" s="42" t="s">
        <v>166</v>
      </c>
      <c r="I12" s="42">
        <v>6</v>
      </c>
      <c r="J12" s="43" t="s">
        <v>143</v>
      </c>
      <c r="K12" s="42" t="s">
        <v>50</v>
      </c>
      <c r="L12" s="42" t="s">
        <v>167</v>
      </c>
      <c r="M12" s="44" t="s">
        <v>168</v>
      </c>
    </row>
    <row r="13" spans="1:13" x14ac:dyDescent="0.35">
      <c r="A13" s="42">
        <v>1282</v>
      </c>
      <c r="B13" s="42" t="s">
        <v>136</v>
      </c>
      <c r="C13" s="42" t="s">
        <v>137</v>
      </c>
      <c r="D13" s="42" t="s">
        <v>159</v>
      </c>
      <c r="E13" s="42" t="s">
        <v>160</v>
      </c>
      <c r="F13" s="42" t="s">
        <v>160</v>
      </c>
      <c r="G13" s="42" t="s">
        <v>141</v>
      </c>
      <c r="H13" s="42" t="s">
        <v>150</v>
      </c>
      <c r="I13" s="42"/>
      <c r="J13" s="45" t="s">
        <v>147</v>
      </c>
      <c r="K13" s="42" t="s">
        <v>78</v>
      </c>
      <c r="L13" s="42" t="s">
        <v>78</v>
      </c>
      <c r="M13" s="44" t="s">
        <v>169</v>
      </c>
    </row>
    <row r="14" spans="1:13" x14ac:dyDescent="0.35">
      <c r="A14" s="42">
        <v>1282</v>
      </c>
      <c r="B14" s="42" t="s">
        <v>136</v>
      </c>
      <c r="C14" s="42" t="s">
        <v>137</v>
      </c>
      <c r="D14" s="42" t="s">
        <v>159</v>
      </c>
      <c r="E14" s="42" t="s">
        <v>160</v>
      </c>
      <c r="F14" s="42" t="s">
        <v>160</v>
      </c>
      <c r="G14" s="42" t="s">
        <v>141</v>
      </c>
      <c r="H14" s="42" t="s">
        <v>150</v>
      </c>
      <c r="I14" s="42"/>
      <c r="J14" s="45" t="s">
        <v>147</v>
      </c>
      <c r="K14" s="42" t="s">
        <v>78</v>
      </c>
      <c r="L14" s="42" t="s">
        <v>78</v>
      </c>
      <c r="M14" s="44" t="s">
        <v>170</v>
      </c>
    </row>
    <row r="15" spans="1:13" x14ac:dyDescent="0.35">
      <c r="A15" s="42">
        <v>1282</v>
      </c>
      <c r="B15" s="42" t="s">
        <v>136</v>
      </c>
      <c r="C15" s="42" t="s">
        <v>137</v>
      </c>
      <c r="D15" s="42" t="s">
        <v>159</v>
      </c>
      <c r="E15" s="42" t="s">
        <v>160</v>
      </c>
      <c r="F15" s="42" t="s">
        <v>160</v>
      </c>
      <c r="G15" s="42" t="s">
        <v>141</v>
      </c>
      <c r="H15" s="42" t="s">
        <v>156</v>
      </c>
      <c r="I15" s="42"/>
      <c r="J15" s="43" t="s">
        <v>143</v>
      </c>
      <c r="K15" s="42" t="s">
        <v>50</v>
      </c>
      <c r="L15" s="42" t="s">
        <v>171</v>
      </c>
      <c r="M15" s="44" t="s">
        <v>172</v>
      </c>
    </row>
    <row r="16" spans="1:13" x14ac:dyDescent="0.35">
      <c r="A16" s="42">
        <v>1282</v>
      </c>
      <c r="B16" s="42" t="s">
        <v>136</v>
      </c>
      <c r="C16" s="42" t="s">
        <v>137</v>
      </c>
      <c r="D16" s="42" t="s">
        <v>159</v>
      </c>
      <c r="E16" s="42" t="s">
        <v>160</v>
      </c>
      <c r="F16" s="42" t="s">
        <v>160</v>
      </c>
      <c r="G16" s="42" t="s">
        <v>141</v>
      </c>
      <c r="H16" s="42" t="s">
        <v>156</v>
      </c>
      <c r="I16" s="42"/>
      <c r="J16" s="43" t="s">
        <v>143</v>
      </c>
      <c r="K16" s="42" t="s">
        <v>144</v>
      </c>
      <c r="L16" s="42" t="s">
        <v>173</v>
      </c>
      <c r="M16" s="44" t="s">
        <v>174</v>
      </c>
    </row>
    <row r="17" spans="1:13" x14ac:dyDescent="0.35">
      <c r="A17" s="42">
        <v>796</v>
      </c>
      <c r="B17" s="42" t="s">
        <v>175</v>
      </c>
      <c r="C17" s="42" t="s">
        <v>137</v>
      </c>
      <c r="D17" s="42" t="s">
        <v>176</v>
      </c>
      <c r="E17" s="42" t="s">
        <v>160</v>
      </c>
      <c r="F17" s="42" t="s">
        <v>160</v>
      </c>
      <c r="G17" s="42" t="s">
        <v>141</v>
      </c>
      <c r="H17" s="42" t="s">
        <v>177</v>
      </c>
      <c r="I17" s="42">
        <v>6</v>
      </c>
      <c r="J17" s="43" t="s">
        <v>143</v>
      </c>
      <c r="K17" s="42" t="s">
        <v>53</v>
      </c>
      <c r="L17" s="42" t="s">
        <v>178</v>
      </c>
      <c r="M17" s="44" t="s">
        <v>179</v>
      </c>
    </row>
    <row r="18" spans="1:13" x14ac:dyDescent="0.35">
      <c r="A18" s="42">
        <v>796</v>
      </c>
      <c r="B18" s="42" t="s">
        <v>175</v>
      </c>
      <c r="C18" s="42" t="s">
        <v>137</v>
      </c>
      <c r="D18" s="42" t="s">
        <v>176</v>
      </c>
      <c r="E18" s="42" t="s">
        <v>160</v>
      </c>
      <c r="F18" s="42" t="s">
        <v>160</v>
      </c>
      <c r="G18" s="42" t="s">
        <v>141</v>
      </c>
      <c r="H18" s="42" t="s">
        <v>180</v>
      </c>
      <c r="I18" s="42">
        <v>6</v>
      </c>
      <c r="J18" s="43" t="s">
        <v>143</v>
      </c>
      <c r="K18" s="42" t="s">
        <v>181</v>
      </c>
      <c r="L18" s="42" t="s">
        <v>181</v>
      </c>
      <c r="M18" s="44" t="s">
        <v>182</v>
      </c>
    </row>
    <row r="19" spans="1:13" ht="37.5" x14ac:dyDescent="0.35">
      <c r="A19" s="42">
        <v>796</v>
      </c>
      <c r="B19" s="42" t="s">
        <v>175</v>
      </c>
      <c r="C19" s="42" t="s">
        <v>137</v>
      </c>
      <c r="D19" s="42" t="s">
        <v>176</v>
      </c>
      <c r="E19" s="42" t="s">
        <v>160</v>
      </c>
      <c r="F19" s="42" t="s">
        <v>160</v>
      </c>
      <c r="G19" s="42" t="s">
        <v>141</v>
      </c>
      <c r="H19" s="42" t="s">
        <v>183</v>
      </c>
      <c r="I19" s="42">
        <v>6</v>
      </c>
      <c r="J19" s="43" t="s">
        <v>143</v>
      </c>
      <c r="K19" s="42" t="s">
        <v>184</v>
      </c>
      <c r="L19" s="42" t="s">
        <v>185</v>
      </c>
      <c r="M19" s="44" t="s">
        <v>186</v>
      </c>
    </row>
    <row r="20" spans="1:13" x14ac:dyDescent="0.35">
      <c r="A20" s="42">
        <v>796</v>
      </c>
      <c r="B20" s="42" t="s">
        <v>175</v>
      </c>
      <c r="C20" s="42" t="s">
        <v>137</v>
      </c>
      <c r="D20" s="42" t="s">
        <v>176</v>
      </c>
      <c r="E20" s="42" t="s">
        <v>160</v>
      </c>
      <c r="F20" s="42" t="s">
        <v>160</v>
      </c>
      <c r="G20" s="42" t="s">
        <v>141</v>
      </c>
      <c r="H20" s="42" t="s">
        <v>146</v>
      </c>
      <c r="I20" s="42">
        <v>9</v>
      </c>
      <c r="J20" s="45" t="s">
        <v>147</v>
      </c>
      <c r="K20" s="42" t="s">
        <v>187</v>
      </c>
      <c r="L20" s="42" t="s">
        <v>188</v>
      </c>
      <c r="M20" s="44" t="s">
        <v>189</v>
      </c>
    </row>
    <row r="21" spans="1:13" x14ac:dyDescent="0.35">
      <c r="A21" s="42">
        <v>796</v>
      </c>
      <c r="B21" s="42" t="s">
        <v>175</v>
      </c>
      <c r="C21" s="42" t="s">
        <v>137</v>
      </c>
      <c r="D21" s="42" t="s">
        <v>176</v>
      </c>
      <c r="E21" s="42" t="s">
        <v>160</v>
      </c>
      <c r="F21" s="42" t="s">
        <v>160</v>
      </c>
      <c r="G21" s="42" t="s">
        <v>141</v>
      </c>
      <c r="H21" s="42" t="s">
        <v>150</v>
      </c>
      <c r="I21" s="42"/>
      <c r="J21" s="45" t="s">
        <v>147</v>
      </c>
      <c r="K21" s="42" t="s">
        <v>190</v>
      </c>
      <c r="L21" s="42" t="s">
        <v>190</v>
      </c>
      <c r="M21" s="44" t="s">
        <v>191</v>
      </c>
    </row>
    <row r="22" spans="1:13" x14ac:dyDescent="0.35">
      <c r="A22" s="42">
        <v>796</v>
      </c>
      <c r="B22" s="42" t="s">
        <v>175</v>
      </c>
      <c r="C22" s="42" t="s">
        <v>137</v>
      </c>
      <c r="D22" s="42" t="s">
        <v>176</v>
      </c>
      <c r="E22" s="42" t="s">
        <v>160</v>
      </c>
      <c r="F22" s="42" t="s">
        <v>160</v>
      </c>
      <c r="G22" s="42" t="s">
        <v>141</v>
      </c>
      <c r="H22" s="42" t="s">
        <v>150</v>
      </c>
      <c r="I22" s="42"/>
      <c r="J22" s="45" t="s">
        <v>147</v>
      </c>
      <c r="K22" s="42" t="s">
        <v>144</v>
      </c>
      <c r="L22" s="42" t="s">
        <v>144</v>
      </c>
      <c r="M22" s="44" t="s">
        <v>192</v>
      </c>
    </row>
    <row r="23" spans="1:13" x14ac:dyDescent="0.35">
      <c r="A23" s="42">
        <v>796</v>
      </c>
      <c r="B23" s="42" t="s">
        <v>175</v>
      </c>
      <c r="C23" s="42" t="s">
        <v>137</v>
      </c>
      <c r="D23" s="42" t="s">
        <v>176</v>
      </c>
      <c r="E23" s="42" t="s">
        <v>160</v>
      </c>
      <c r="F23" s="42" t="s">
        <v>160</v>
      </c>
      <c r="G23" s="42" t="s">
        <v>141</v>
      </c>
      <c r="H23" s="42" t="s">
        <v>156</v>
      </c>
      <c r="I23" s="42"/>
      <c r="J23" s="43" t="s">
        <v>143</v>
      </c>
      <c r="K23" s="42" t="s">
        <v>193</v>
      </c>
      <c r="L23" s="42" t="s">
        <v>194</v>
      </c>
      <c r="M23" s="44" t="s">
        <v>195</v>
      </c>
    </row>
    <row r="24" spans="1:13" x14ac:dyDescent="0.35">
      <c r="A24" s="42">
        <v>796</v>
      </c>
      <c r="B24" s="42" t="s">
        <v>175</v>
      </c>
      <c r="C24" s="42" t="s">
        <v>137</v>
      </c>
      <c r="D24" s="42" t="s">
        <v>176</v>
      </c>
      <c r="E24" s="42" t="s">
        <v>160</v>
      </c>
      <c r="F24" s="42" t="s">
        <v>160</v>
      </c>
      <c r="G24" s="42" t="s">
        <v>141</v>
      </c>
      <c r="H24" s="42" t="s">
        <v>156</v>
      </c>
      <c r="I24" s="42"/>
      <c r="J24" s="43" t="s">
        <v>143</v>
      </c>
      <c r="K24" s="42" t="s">
        <v>196</v>
      </c>
      <c r="L24" s="42" t="s">
        <v>196</v>
      </c>
      <c r="M24" s="44" t="s">
        <v>197</v>
      </c>
    </row>
    <row r="25" spans="1:13" x14ac:dyDescent="0.35">
      <c r="A25" s="42">
        <v>796</v>
      </c>
      <c r="B25" s="42" t="s">
        <v>175</v>
      </c>
      <c r="C25" s="42" t="s">
        <v>137</v>
      </c>
      <c r="D25" s="42" t="s">
        <v>176</v>
      </c>
      <c r="E25" s="42" t="s">
        <v>160</v>
      </c>
      <c r="F25" s="42" t="s">
        <v>160</v>
      </c>
      <c r="G25" s="42" t="s">
        <v>141</v>
      </c>
      <c r="H25" s="42" t="s">
        <v>156</v>
      </c>
      <c r="I25" s="42"/>
      <c r="J25" s="43" t="s">
        <v>143</v>
      </c>
      <c r="K25" s="42" t="s">
        <v>184</v>
      </c>
      <c r="L25" s="42" t="s">
        <v>184</v>
      </c>
      <c r="M25" s="44" t="s">
        <v>198</v>
      </c>
    </row>
    <row r="26" spans="1:13" x14ac:dyDescent="0.35">
      <c r="A26" s="42">
        <v>800</v>
      </c>
      <c r="B26" s="42" t="s">
        <v>136</v>
      </c>
      <c r="C26" s="42" t="s">
        <v>199</v>
      </c>
      <c r="D26" s="42" t="s">
        <v>176</v>
      </c>
      <c r="E26" s="42" t="s">
        <v>139</v>
      </c>
      <c r="F26" s="42" t="s">
        <v>140</v>
      </c>
      <c r="G26" s="42" t="s">
        <v>200</v>
      </c>
      <c r="H26" s="42" t="s">
        <v>146</v>
      </c>
      <c r="I26" s="42">
        <v>9</v>
      </c>
      <c r="J26" s="45" t="s">
        <v>147</v>
      </c>
      <c r="K26" s="42" t="s">
        <v>196</v>
      </c>
      <c r="L26" s="42" t="s">
        <v>201</v>
      </c>
      <c r="M26" s="44" t="s">
        <v>202</v>
      </c>
    </row>
    <row r="27" spans="1:13" x14ac:dyDescent="0.35">
      <c r="A27" s="42">
        <v>800</v>
      </c>
      <c r="B27" s="42" t="s">
        <v>136</v>
      </c>
      <c r="C27" s="42" t="s">
        <v>199</v>
      </c>
      <c r="D27" s="42" t="s">
        <v>176</v>
      </c>
      <c r="E27" s="42" t="s">
        <v>139</v>
      </c>
      <c r="F27" s="42" t="s">
        <v>140</v>
      </c>
      <c r="G27" s="42" t="s">
        <v>200</v>
      </c>
      <c r="H27" s="42" t="s">
        <v>150</v>
      </c>
      <c r="I27" s="42"/>
      <c r="J27" s="45" t="s">
        <v>147</v>
      </c>
      <c r="K27" s="42" t="s">
        <v>78</v>
      </c>
      <c r="L27" s="42" t="s">
        <v>78</v>
      </c>
      <c r="M27" s="44" t="s">
        <v>203</v>
      </c>
    </row>
    <row r="28" spans="1:13" x14ac:dyDescent="0.35">
      <c r="A28" s="42">
        <v>800</v>
      </c>
      <c r="B28" s="42" t="s">
        <v>136</v>
      </c>
      <c r="C28" s="42" t="s">
        <v>199</v>
      </c>
      <c r="D28" s="42" t="s">
        <v>176</v>
      </c>
      <c r="E28" s="42" t="s">
        <v>139</v>
      </c>
      <c r="F28" s="42" t="s">
        <v>140</v>
      </c>
      <c r="G28" s="42" t="s">
        <v>200</v>
      </c>
      <c r="H28" s="42" t="s">
        <v>150</v>
      </c>
      <c r="I28" s="42"/>
      <c r="J28" s="45" t="s">
        <v>147</v>
      </c>
      <c r="K28" s="42" t="s">
        <v>181</v>
      </c>
      <c r="L28" s="42" t="s">
        <v>181</v>
      </c>
      <c r="M28" s="44" t="s">
        <v>204</v>
      </c>
    </row>
    <row r="29" spans="1:13" x14ac:dyDescent="0.35">
      <c r="A29" s="42">
        <v>800</v>
      </c>
      <c r="B29" s="42" t="s">
        <v>136</v>
      </c>
      <c r="C29" s="42" t="s">
        <v>199</v>
      </c>
      <c r="D29" s="42" t="s">
        <v>176</v>
      </c>
      <c r="E29" s="42" t="s">
        <v>139</v>
      </c>
      <c r="F29" s="42" t="s">
        <v>140</v>
      </c>
      <c r="G29" s="42" t="s">
        <v>200</v>
      </c>
      <c r="H29" s="42" t="s">
        <v>150</v>
      </c>
      <c r="I29" s="42"/>
      <c r="J29" s="45" t="s">
        <v>147</v>
      </c>
      <c r="K29" s="42" t="s">
        <v>78</v>
      </c>
      <c r="L29" s="42" t="s">
        <v>78</v>
      </c>
      <c r="M29" s="44" t="s">
        <v>205</v>
      </c>
    </row>
    <row r="30" spans="1:13" ht="25" x14ac:dyDescent="0.35">
      <c r="A30" s="42">
        <v>802</v>
      </c>
      <c r="B30" s="42" t="s">
        <v>136</v>
      </c>
      <c r="C30" s="42" t="s">
        <v>137</v>
      </c>
      <c r="D30" s="42" t="s">
        <v>159</v>
      </c>
      <c r="E30" s="42" t="s">
        <v>206</v>
      </c>
      <c r="F30" s="42" t="s">
        <v>206</v>
      </c>
      <c r="G30" s="42" t="s">
        <v>141</v>
      </c>
      <c r="H30" s="42" t="s">
        <v>142</v>
      </c>
      <c r="I30" s="42">
        <v>3</v>
      </c>
      <c r="J30" s="43" t="s">
        <v>143</v>
      </c>
      <c r="K30" s="42" t="s">
        <v>144</v>
      </c>
      <c r="L30" s="42" t="s">
        <v>144</v>
      </c>
      <c r="M30" s="44" t="s">
        <v>207</v>
      </c>
    </row>
    <row r="31" spans="1:13" ht="25" x14ac:dyDescent="0.35">
      <c r="A31" s="42">
        <v>802</v>
      </c>
      <c r="B31" s="42" t="s">
        <v>136</v>
      </c>
      <c r="C31" s="42" t="s">
        <v>137</v>
      </c>
      <c r="D31" s="42" t="s">
        <v>159</v>
      </c>
      <c r="E31" s="42" t="s">
        <v>206</v>
      </c>
      <c r="F31" s="42" t="s">
        <v>206</v>
      </c>
      <c r="G31" s="42" t="s">
        <v>141</v>
      </c>
      <c r="H31" s="42" t="s">
        <v>183</v>
      </c>
      <c r="I31" s="42">
        <v>5</v>
      </c>
      <c r="J31" s="43" t="s">
        <v>143</v>
      </c>
      <c r="K31" s="42" t="s">
        <v>184</v>
      </c>
      <c r="L31" s="42" t="s">
        <v>208</v>
      </c>
      <c r="M31" s="44" t="s">
        <v>209</v>
      </c>
    </row>
    <row r="32" spans="1:13" x14ac:dyDescent="0.35">
      <c r="A32" s="42">
        <v>802</v>
      </c>
      <c r="B32" s="42" t="s">
        <v>136</v>
      </c>
      <c r="C32" s="42" t="s">
        <v>137</v>
      </c>
      <c r="D32" s="42" t="s">
        <v>159</v>
      </c>
      <c r="E32" s="42" t="s">
        <v>206</v>
      </c>
      <c r="F32" s="42" t="s">
        <v>206</v>
      </c>
      <c r="G32" s="42" t="s">
        <v>141</v>
      </c>
      <c r="H32" s="42" t="s">
        <v>146</v>
      </c>
      <c r="I32" s="42">
        <v>6</v>
      </c>
      <c r="J32" s="43" t="s">
        <v>143</v>
      </c>
      <c r="K32" s="42" t="s">
        <v>210</v>
      </c>
      <c r="L32" s="42" t="s">
        <v>210</v>
      </c>
      <c r="M32" s="44" t="s">
        <v>211</v>
      </c>
    </row>
    <row r="33" spans="1:13" x14ac:dyDescent="0.35">
      <c r="A33" s="42">
        <v>802</v>
      </c>
      <c r="B33" s="42" t="s">
        <v>136</v>
      </c>
      <c r="C33" s="42" t="s">
        <v>137</v>
      </c>
      <c r="D33" s="42" t="s">
        <v>159</v>
      </c>
      <c r="E33" s="42" t="s">
        <v>206</v>
      </c>
      <c r="F33" s="42" t="s">
        <v>206</v>
      </c>
      <c r="G33" s="42" t="s">
        <v>141</v>
      </c>
      <c r="H33" s="42" t="s">
        <v>150</v>
      </c>
      <c r="I33" s="42"/>
      <c r="J33" s="45" t="s">
        <v>147</v>
      </c>
      <c r="K33" s="42" t="s">
        <v>193</v>
      </c>
      <c r="L33" s="42" t="s">
        <v>194</v>
      </c>
      <c r="M33" s="44" t="s">
        <v>212</v>
      </c>
    </row>
    <row r="34" spans="1:13" x14ac:dyDescent="0.35">
      <c r="A34" s="42">
        <v>802</v>
      </c>
      <c r="B34" s="42" t="s">
        <v>136</v>
      </c>
      <c r="C34" s="42" t="s">
        <v>137</v>
      </c>
      <c r="D34" s="42" t="s">
        <v>159</v>
      </c>
      <c r="E34" s="42" t="s">
        <v>206</v>
      </c>
      <c r="F34" s="42" t="s">
        <v>206</v>
      </c>
      <c r="G34" s="42" t="s">
        <v>141</v>
      </c>
      <c r="H34" s="42" t="s">
        <v>150</v>
      </c>
      <c r="I34" s="42"/>
      <c r="J34" s="45" t="s">
        <v>147</v>
      </c>
      <c r="K34" s="42" t="s">
        <v>181</v>
      </c>
      <c r="L34" s="42" t="s">
        <v>181</v>
      </c>
      <c r="M34" s="44" t="s">
        <v>213</v>
      </c>
    </row>
    <row r="35" spans="1:13" ht="25" x14ac:dyDescent="0.35">
      <c r="A35" s="42">
        <v>802</v>
      </c>
      <c r="B35" s="42" t="s">
        <v>136</v>
      </c>
      <c r="C35" s="42" t="s">
        <v>137</v>
      </c>
      <c r="D35" s="42" t="s">
        <v>159</v>
      </c>
      <c r="E35" s="42" t="s">
        <v>206</v>
      </c>
      <c r="F35" s="42" t="s">
        <v>206</v>
      </c>
      <c r="G35" s="42" t="s">
        <v>141</v>
      </c>
      <c r="H35" s="42" t="s">
        <v>150</v>
      </c>
      <c r="I35" s="42"/>
      <c r="J35" s="45" t="s">
        <v>147</v>
      </c>
      <c r="K35" s="42" t="s">
        <v>78</v>
      </c>
      <c r="L35" s="42" t="s">
        <v>78</v>
      </c>
      <c r="M35" s="44" t="s">
        <v>214</v>
      </c>
    </row>
    <row r="36" spans="1:13" x14ac:dyDescent="0.35">
      <c r="A36" s="42">
        <v>802</v>
      </c>
      <c r="B36" s="42" t="s">
        <v>136</v>
      </c>
      <c r="C36" s="42" t="s">
        <v>137</v>
      </c>
      <c r="D36" s="42" t="s">
        <v>159</v>
      </c>
      <c r="E36" s="42" t="s">
        <v>206</v>
      </c>
      <c r="F36" s="42" t="s">
        <v>206</v>
      </c>
      <c r="G36" s="42" t="s">
        <v>141</v>
      </c>
      <c r="H36" s="42" t="s">
        <v>156</v>
      </c>
      <c r="I36" s="42"/>
      <c r="J36" s="43" t="s">
        <v>143</v>
      </c>
      <c r="K36" s="42" t="s">
        <v>144</v>
      </c>
      <c r="L36" s="42" t="s">
        <v>144</v>
      </c>
      <c r="M36" s="44" t="s">
        <v>215</v>
      </c>
    </row>
    <row r="37" spans="1:13" x14ac:dyDescent="0.35">
      <c r="A37" s="42">
        <v>802</v>
      </c>
      <c r="B37" s="42" t="s">
        <v>136</v>
      </c>
      <c r="C37" s="42" t="s">
        <v>137</v>
      </c>
      <c r="D37" s="42" t="s">
        <v>159</v>
      </c>
      <c r="E37" s="42" t="s">
        <v>206</v>
      </c>
      <c r="F37" s="42" t="s">
        <v>206</v>
      </c>
      <c r="G37" s="42" t="s">
        <v>141</v>
      </c>
      <c r="H37" s="42" t="s">
        <v>156</v>
      </c>
      <c r="I37" s="42"/>
      <c r="J37" s="43" t="s">
        <v>143</v>
      </c>
      <c r="K37" s="42" t="s">
        <v>144</v>
      </c>
      <c r="L37" s="42" t="s">
        <v>144</v>
      </c>
      <c r="M37" s="44" t="s">
        <v>216</v>
      </c>
    </row>
    <row r="38" spans="1:13" x14ac:dyDescent="0.35">
      <c r="A38" s="42">
        <v>802</v>
      </c>
      <c r="B38" s="42" t="s">
        <v>136</v>
      </c>
      <c r="C38" s="42" t="s">
        <v>137</v>
      </c>
      <c r="D38" s="42" t="s">
        <v>159</v>
      </c>
      <c r="E38" s="42" t="s">
        <v>206</v>
      </c>
      <c r="F38" s="42" t="s">
        <v>206</v>
      </c>
      <c r="G38" s="42" t="s">
        <v>141</v>
      </c>
      <c r="H38" s="42" t="s">
        <v>156</v>
      </c>
      <c r="I38" s="42"/>
      <c r="J38" s="43" t="s">
        <v>143</v>
      </c>
      <c r="K38" s="42" t="s">
        <v>196</v>
      </c>
      <c r="L38" s="42" t="s">
        <v>217</v>
      </c>
      <c r="M38" s="44" t="s">
        <v>218</v>
      </c>
    </row>
    <row r="39" spans="1:13" x14ac:dyDescent="0.35">
      <c r="A39" s="42">
        <v>803</v>
      </c>
      <c r="B39" s="42" t="s">
        <v>175</v>
      </c>
      <c r="C39" s="42" t="s">
        <v>199</v>
      </c>
      <c r="D39" s="42" t="s">
        <v>219</v>
      </c>
      <c r="E39" s="42" t="s">
        <v>139</v>
      </c>
      <c r="F39" s="42" t="s">
        <v>140</v>
      </c>
      <c r="G39" s="42" t="s">
        <v>141</v>
      </c>
      <c r="H39" s="42" t="s">
        <v>166</v>
      </c>
      <c r="I39" s="42">
        <v>6</v>
      </c>
      <c r="J39" s="43" t="s">
        <v>143</v>
      </c>
      <c r="K39" s="42" t="s">
        <v>196</v>
      </c>
      <c r="L39" s="42" t="s">
        <v>196</v>
      </c>
      <c r="M39" s="44" t="s">
        <v>220</v>
      </c>
    </row>
    <row r="40" spans="1:13" x14ac:dyDescent="0.35">
      <c r="A40" s="42">
        <v>803</v>
      </c>
      <c r="B40" s="42" t="s">
        <v>175</v>
      </c>
      <c r="C40" s="42" t="s">
        <v>199</v>
      </c>
      <c r="D40" s="42" t="s">
        <v>219</v>
      </c>
      <c r="E40" s="42" t="s">
        <v>139</v>
      </c>
      <c r="F40" s="42" t="s">
        <v>140</v>
      </c>
      <c r="G40" s="42" t="s">
        <v>141</v>
      </c>
      <c r="H40" s="42" t="s">
        <v>180</v>
      </c>
      <c r="I40" s="42">
        <v>6</v>
      </c>
      <c r="J40" s="43" t="s">
        <v>143</v>
      </c>
      <c r="K40" s="42" t="s">
        <v>196</v>
      </c>
      <c r="L40" s="42" t="s">
        <v>196</v>
      </c>
      <c r="M40" s="44" t="s">
        <v>221</v>
      </c>
    </row>
    <row r="41" spans="1:13" ht="25" x14ac:dyDescent="0.35">
      <c r="A41" s="42">
        <v>803</v>
      </c>
      <c r="B41" s="42" t="s">
        <v>175</v>
      </c>
      <c r="C41" s="42" t="s">
        <v>199</v>
      </c>
      <c r="D41" s="42" t="s">
        <v>219</v>
      </c>
      <c r="E41" s="42" t="s">
        <v>139</v>
      </c>
      <c r="F41" s="42" t="s">
        <v>140</v>
      </c>
      <c r="G41" s="42" t="s">
        <v>141</v>
      </c>
      <c r="H41" s="42" t="s">
        <v>146</v>
      </c>
      <c r="I41" s="42">
        <v>7</v>
      </c>
      <c r="J41" s="46" t="s">
        <v>222</v>
      </c>
      <c r="K41" s="42" t="s">
        <v>76</v>
      </c>
      <c r="L41" s="42" t="s">
        <v>223</v>
      </c>
      <c r="M41" s="44" t="s">
        <v>224</v>
      </c>
    </row>
    <row r="42" spans="1:13" x14ac:dyDescent="0.35">
      <c r="A42" s="42">
        <v>803</v>
      </c>
      <c r="B42" s="42" t="s">
        <v>175</v>
      </c>
      <c r="C42" s="42" t="s">
        <v>199</v>
      </c>
      <c r="D42" s="42" t="s">
        <v>219</v>
      </c>
      <c r="E42" s="42" t="s">
        <v>139</v>
      </c>
      <c r="F42" s="42" t="s">
        <v>140</v>
      </c>
      <c r="G42" s="42" t="s">
        <v>141</v>
      </c>
      <c r="H42" s="42" t="s">
        <v>150</v>
      </c>
      <c r="I42" s="42"/>
      <c r="J42" s="45" t="s">
        <v>147</v>
      </c>
      <c r="K42" s="42" t="s">
        <v>80</v>
      </c>
      <c r="L42" s="42" t="s">
        <v>80</v>
      </c>
      <c r="M42" s="44" t="s">
        <v>225</v>
      </c>
    </row>
    <row r="43" spans="1:13" x14ac:dyDescent="0.35">
      <c r="A43" s="42">
        <v>803</v>
      </c>
      <c r="B43" s="42" t="s">
        <v>175</v>
      </c>
      <c r="C43" s="42" t="s">
        <v>199</v>
      </c>
      <c r="D43" s="42" t="s">
        <v>219</v>
      </c>
      <c r="E43" s="42" t="s">
        <v>139</v>
      </c>
      <c r="F43" s="42" t="s">
        <v>140</v>
      </c>
      <c r="G43" s="42" t="s">
        <v>141</v>
      </c>
      <c r="H43" s="42" t="s">
        <v>150</v>
      </c>
      <c r="I43" s="42"/>
      <c r="J43" s="45" t="s">
        <v>147</v>
      </c>
      <c r="K43" s="42" t="s">
        <v>76</v>
      </c>
      <c r="L43" s="42" t="s">
        <v>76</v>
      </c>
      <c r="M43" s="44" t="s">
        <v>226</v>
      </c>
    </row>
    <row r="44" spans="1:13" x14ac:dyDescent="0.35">
      <c r="A44" s="42">
        <v>803</v>
      </c>
      <c r="B44" s="42" t="s">
        <v>175</v>
      </c>
      <c r="C44" s="42" t="s">
        <v>199</v>
      </c>
      <c r="D44" s="42" t="s">
        <v>219</v>
      </c>
      <c r="E44" s="42" t="s">
        <v>139</v>
      </c>
      <c r="F44" s="42" t="s">
        <v>140</v>
      </c>
      <c r="G44" s="42" t="s">
        <v>141</v>
      </c>
      <c r="H44" s="42" t="s">
        <v>150</v>
      </c>
      <c r="I44" s="42"/>
      <c r="J44" s="45" t="s">
        <v>147</v>
      </c>
      <c r="K44" s="42" t="s">
        <v>76</v>
      </c>
      <c r="L44" s="42" t="s">
        <v>76</v>
      </c>
      <c r="M44" s="44" t="s">
        <v>227</v>
      </c>
    </row>
    <row r="45" spans="1:13" x14ac:dyDescent="0.35">
      <c r="A45" s="42">
        <v>803</v>
      </c>
      <c r="B45" s="42" t="s">
        <v>175</v>
      </c>
      <c r="C45" s="42" t="s">
        <v>199</v>
      </c>
      <c r="D45" s="42" t="s">
        <v>219</v>
      </c>
      <c r="E45" s="42" t="s">
        <v>139</v>
      </c>
      <c r="F45" s="42" t="s">
        <v>140</v>
      </c>
      <c r="G45" s="42" t="s">
        <v>141</v>
      </c>
      <c r="H45" s="42" t="s">
        <v>156</v>
      </c>
      <c r="I45" s="42"/>
      <c r="J45" s="43" t="s">
        <v>143</v>
      </c>
      <c r="K45" s="42" t="s">
        <v>196</v>
      </c>
      <c r="L45" s="42" t="s">
        <v>196</v>
      </c>
      <c r="M45" s="44" t="s">
        <v>228</v>
      </c>
    </row>
    <row r="46" spans="1:13" x14ac:dyDescent="0.35">
      <c r="A46" s="42">
        <v>803</v>
      </c>
      <c r="B46" s="42" t="s">
        <v>175</v>
      </c>
      <c r="C46" s="42" t="s">
        <v>199</v>
      </c>
      <c r="D46" s="42" t="s">
        <v>219</v>
      </c>
      <c r="E46" s="42" t="s">
        <v>139</v>
      </c>
      <c r="F46" s="42" t="s">
        <v>140</v>
      </c>
      <c r="G46" s="42" t="s">
        <v>141</v>
      </c>
      <c r="H46" s="42" t="s">
        <v>156</v>
      </c>
      <c r="I46" s="42"/>
      <c r="J46" s="43" t="s">
        <v>143</v>
      </c>
      <c r="K46" s="42" t="s">
        <v>144</v>
      </c>
      <c r="L46" s="42" t="s">
        <v>144</v>
      </c>
      <c r="M46" s="44" t="s">
        <v>229</v>
      </c>
    </row>
    <row r="47" spans="1:13" ht="25" x14ac:dyDescent="0.35">
      <c r="A47" s="42">
        <v>807</v>
      </c>
      <c r="B47" s="42" t="s">
        <v>136</v>
      </c>
      <c r="C47" s="42" t="s">
        <v>199</v>
      </c>
      <c r="D47" s="42" t="s">
        <v>176</v>
      </c>
      <c r="E47" s="42" t="s">
        <v>139</v>
      </c>
      <c r="F47" s="42" t="s">
        <v>140</v>
      </c>
      <c r="G47" s="42" t="s">
        <v>200</v>
      </c>
      <c r="H47" s="42" t="s">
        <v>146</v>
      </c>
      <c r="I47" s="42">
        <v>6</v>
      </c>
      <c r="J47" s="43" t="s">
        <v>143</v>
      </c>
      <c r="K47" s="42" t="s">
        <v>196</v>
      </c>
      <c r="L47" s="42" t="s">
        <v>196</v>
      </c>
      <c r="M47" s="44" t="s">
        <v>230</v>
      </c>
    </row>
    <row r="48" spans="1:13" x14ac:dyDescent="0.35">
      <c r="A48" s="42">
        <v>807</v>
      </c>
      <c r="B48" s="42" t="s">
        <v>136</v>
      </c>
      <c r="C48" s="42" t="s">
        <v>199</v>
      </c>
      <c r="D48" s="42" t="s">
        <v>176</v>
      </c>
      <c r="E48" s="42" t="s">
        <v>139</v>
      </c>
      <c r="F48" s="42" t="s">
        <v>140</v>
      </c>
      <c r="G48" s="42" t="s">
        <v>200</v>
      </c>
      <c r="H48" s="42" t="s">
        <v>150</v>
      </c>
      <c r="I48" s="42"/>
      <c r="J48" s="45" t="s">
        <v>147</v>
      </c>
      <c r="K48" s="42" t="s">
        <v>80</v>
      </c>
      <c r="L48" s="42" t="s">
        <v>80</v>
      </c>
      <c r="M48" s="44" t="s">
        <v>231</v>
      </c>
    </row>
    <row r="49" spans="1:13" x14ac:dyDescent="0.35">
      <c r="A49" s="42">
        <v>807</v>
      </c>
      <c r="B49" s="42" t="s">
        <v>136</v>
      </c>
      <c r="C49" s="42" t="s">
        <v>199</v>
      </c>
      <c r="D49" s="42" t="s">
        <v>176</v>
      </c>
      <c r="E49" s="42" t="s">
        <v>139</v>
      </c>
      <c r="F49" s="42" t="s">
        <v>140</v>
      </c>
      <c r="G49" s="42" t="s">
        <v>200</v>
      </c>
      <c r="H49" s="42" t="s">
        <v>150</v>
      </c>
      <c r="I49" s="42"/>
      <c r="J49" s="45" t="s">
        <v>147</v>
      </c>
      <c r="K49" s="42" t="s">
        <v>181</v>
      </c>
      <c r="L49" s="42" t="s">
        <v>181</v>
      </c>
      <c r="M49" s="44" t="s">
        <v>232</v>
      </c>
    </row>
    <row r="50" spans="1:13" x14ac:dyDescent="0.35">
      <c r="A50" s="42">
        <v>807</v>
      </c>
      <c r="B50" s="42" t="s">
        <v>136</v>
      </c>
      <c r="C50" s="42" t="s">
        <v>199</v>
      </c>
      <c r="D50" s="42" t="s">
        <v>176</v>
      </c>
      <c r="E50" s="42" t="s">
        <v>139</v>
      </c>
      <c r="F50" s="42" t="s">
        <v>140</v>
      </c>
      <c r="G50" s="42" t="s">
        <v>200</v>
      </c>
      <c r="H50" s="42" t="s">
        <v>156</v>
      </c>
      <c r="I50" s="42"/>
      <c r="J50" s="43" t="s">
        <v>143</v>
      </c>
      <c r="K50" s="42" t="s">
        <v>196</v>
      </c>
      <c r="L50" s="42" t="s">
        <v>196</v>
      </c>
      <c r="M50" s="44" t="s">
        <v>233</v>
      </c>
    </row>
    <row r="51" spans="1:13" x14ac:dyDescent="0.35">
      <c r="A51" s="42">
        <v>807</v>
      </c>
      <c r="B51" s="42" t="s">
        <v>136</v>
      </c>
      <c r="C51" s="42" t="s">
        <v>199</v>
      </c>
      <c r="D51" s="42" t="s">
        <v>176</v>
      </c>
      <c r="E51" s="42" t="s">
        <v>139</v>
      </c>
      <c r="F51" s="42" t="s">
        <v>140</v>
      </c>
      <c r="G51" s="42" t="s">
        <v>200</v>
      </c>
      <c r="H51" s="42" t="s">
        <v>156</v>
      </c>
      <c r="I51" s="42"/>
      <c r="J51" s="43" t="s">
        <v>143</v>
      </c>
      <c r="K51" s="42" t="s">
        <v>78</v>
      </c>
      <c r="L51" s="42" t="s">
        <v>78</v>
      </c>
      <c r="M51" s="44" t="s">
        <v>234</v>
      </c>
    </row>
    <row r="52" spans="1:13" ht="37.5" x14ac:dyDescent="0.35">
      <c r="A52" s="42">
        <v>809</v>
      </c>
      <c r="B52" s="42" t="s">
        <v>136</v>
      </c>
      <c r="C52" s="42" t="s">
        <v>137</v>
      </c>
      <c r="D52" s="42" t="s">
        <v>138</v>
      </c>
      <c r="E52" s="42" t="s">
        <v>160</v>
      </c>
      <c r="F52" s="42" t="s">
        <v>160</v>
      </c>
      <c r="G52" s="42" t="s">
        <v>141</v>
      </c>
      <c r="H52" s="42" t="s">
        <v>163</v>
      </c>
      <c r="I52" s="42"/>
      <c r="J52" s="45" t="s">
        <v>147</v>
      </c>
      <c r="K52" s="42" t="s">
        <v>144</v>
      </c>
      <c r="L52" s="42" t="s">
        <v>235</v>
      </c>
      <c r="M52" s="44" t="s">
        <v>236</v>
      </c>
    </row>
    <row r="53" spans="1:13" ht="37.5" x14ac:dyDescent="0.35">
      <c r="A53" s="42">
        <v>809</v>
      </c>
      <c r="B53" s="42" t="s">
        <v>136</v>
      </c>
      <c r="C53" s="42" t="s">
        <v>137</v>
      </c>
      <c r="D53" s="42" t="s">
        <v>138</v>
      </c>
      <c r="E53" s="42" t="s">
        <v>160</v>
      </c>
      <c r="F53" s="42" t="s">
        <v>160</v>
      </c>
      <c r="G53" s="42" t="s">
        <v>141</v>
      </c>
      <c r="H53" s="42" t="s">
        <v>180</v>
      </c>
      <c r="I53" s="42">
        <v>6</v>
      </c>
      <c r="J53" s="43" t="s">
        <v>143</v>
      </c>
      <c r="K53" s="42" t="s">
        <v>144</v>
      </c>
      <c r="L53" s="42" t="s">
        <v>237</v>
      </c>
      <c r="M53" s="44" t="s">
        <v>238</v>
      </c>
    </row>
    <row r="54" spans="1:13" ht="25" x14ac:dyDescent="0.35">
      <c r="A54" s="42">
        <v>809</v>
      </c>
      <c r="B54" s="42" t="s">
        <v>136</v>
      </c>
      <c r="C54" s="42" t="s">
        <v>137</v>
      </c>
      <c r="D54" s="42" t="s">
        <v>138</v>
      </c>
      <c r="E54" s="42" t="s">
        <v>160</v>
      </c>
      <c r="F54" s="42" t="s">
        <v>160</v>
      </c>
      <c r="G54" s="42" t="s">
        <v>141</v>
      </c>
      <c r="H54" s="42" t="s">
        <v>146</v>
      </c>
      <c r="I54" s="42">
        <v>9</v>
      </c>
      <c r="J54" s="45" t="s">
        <v>147</v>
      </c>
      <c r="K54" s="42" t="s">
        <v>187</v>
      </c>
      <c r="L54" s="42" t="s">
        <v>239</v>
      </c>
      <c r="M54" s="44" t="s">
        <v>240</v>
      </c>
    </row>
    <row r="55" spans="1:13" x14ac:dyDescent="0.35">
      <c r="A55" s="42">
        <v>809</v>
      </c>
      <c r="B55" s="42" t="s">
        <v>136</v>
      </c>
      <c r="C55" s="42" t="s">
        <v>137</v>
      </c>
      <c r="D55" s="42" t="s">
        <v>138</v>
      </c>
      <c r="E55" s="42" t="s">
        <v>160</v>
      </c>
      <c r="F55" s="42" t="s">
        <v>160</v>
      </c>
      <c r="G55" s="42" t="s">
        <v>141</v>
      </c>
      <c r="H55" s="42" t="s">
        <v>150</v>
      </c>
      <c r="I55" s="42"/>
      <c r="J55" s="45" t="s">
        <v>147</v>
      </c>
      <c r="K55" s="42" t="s">
        <v>144</v>
      </c>
      <c r="L55" s="42" t="s">
        <v>241</v>
      </c>
      <c r="M55" s="44" t="s">
        <v>242</v>
      </c>
    </row>
    <row r="56" spans="1:13" x14ac:dyDescent="0.35">
      <c r="A56" s="42">
        <v>809</v>
      </c>
      <c r="B56" s="42" t="s">
        <v>136</v>
      </c>
      <c r="C56" s="42" t="s">
        <v>137</v>
      </c>
      <c r="D56" s="42" t="s">
        <v>138</v>
      </c>
      <c r="E56" s="42" t="s">
        <v>160</v>
      </c>
      <c r="F56" s="42" t="s">
        <v>160</v>
      </c>
      <c r="G56" s="42" t="s">
        <v>141</v>
      </c>
      <c r="H56" s="42" t="s">
        <v>150</v>
      </c>
      <c r="I56" s="42"/>
      <c r="J56" s="45" t="s">
        <v>147</v>
      </c>
      <c r="K56" s="42" t="s">
        <v>187</v>
      </c>
      <c r="L56" s="42" t="s">
        <v>188</v>
      </c>
      <c r="M56" s="44" t="s">
        <v>243</v>
      </c>
    </row>
    <row r="57" spans="1:13" x14ac:dyDescent="0.35">
      <c r="A57" s="42">
        <v>809</v>
      </c>
      <c r="B57" s="42" t="s">
        <v>136</v>
      </c>
      <c r="C57" s="42" t="s">
        <v>137</v>
      </c>
      <c r="D57" s="42" t="s">
        <v>138</v>
      </c>
      <c r="E57" s="42" t="s">
        <v>160</v>
      </c>
      <c r="F57" s="42" t="s">
        <v>160</v>
      </c>
      <c r="G57" s="42" t="s">
        <v>141</v>
      </c>
      <c r="H57" s="42" t="s">
        <v>156</v>
      </c>
      <c r="I57" s="42"/>
      <c r="J57" s="43" t="s">
        <v>143</v>
      </c>
      <c r="K57" s="42" t="s">
        <v>181</v>
      </c>
      <c r="L57" s="42" t="s">
        <v>181</v>
      </c>
      <c r="M57" s="44" t="s">
        <v>244</v>
      </c>
    </row>
    <row r="58" spans="1:13" x14ac:dyDescent="0.35">
      <c r="A58" s="42">
        <v>809</v>
      </c>
      <c r="B58" s="42" t="s">
        <v>136</v>
      </c>
      <c r="C58" s="42" t="s">
        <v>137</v>
      </c>
      <c r="D58" s="42" t="s">
        <v>138</v>
      </c>
      <c r="E58" s="42" t="s">
        <v>160</v>
      </c>
      <c r="F58" s="42" t="s">
        <v>160</v>
      </c>
      <c r="G58" s="42" t="s">
        <v>141</v>
      </c>
      <c r="H58" s="42" t="s">
        <v>156</v>
      </c>
      <c r="I58" s="42"/>
      <c r="J58" s="43" t="s">
        <v>143</v>
      </c>
      <c r="K58" s="42" t="s">
        <v>181</v>
      </c>
      <c r="L58" s="42" t="s">
        <v>181</v>
      </c>
      <c r="M58" s="44" t="s">
        <v>245</v>
      </c>
    </row>
    <row r="59" spans="1:13" x14ac:dyDescent="0.35">
      <c r="A59" s="42">
        <v>809</v>
      </c>
      <c r="B59" s="42" t="s">
        <v>136</v>
      </c>
      <c r="C59" s="42" t="s">
        <v>137</v>
      </c>
      <c r="D59" s="42" t="s">
        <v>138</v>
      </c>
      <c r="E59" s="42" t="s">
        <v>160</v>
      </c>
      <c r="F59" s="42" t="s">
        <v>160</v>
      </c>
      <c r="G59" s="42" t="s">
        <v>141</v>
      </c>
      <c r="H59" s="42" t="s">
        <v>156</v>
      </c>
      <c r="I59" s="42"/>
      <c r="J59" s="43" t="s">
        <v>143</v>
      </c>
      <c r="K59" s="42" t="s">
        <v>190</v>
      </c>
      <c r="L59" s="42" t="s">
        <v>190</v>
      </c>
      <c r="M59" s="44" t="s">
        <v>246</v>
      </c>
    </row>
    <row r="60" spans="1:13" x14ac:dyDescent="0.35">
      <c r="A60" s="42">
        <v>889</v>
      </c>
      <c r="B60" s="42" t="s">
        <v>136</v>
      </c>
      <c r="C60" s="42" t="s">
        <v>199</v>
      </c>
      <c r="D60" s="42" t="s">
        <v>159</v>
      </c>
      <c r="E60" s="42" t="s">
        <v>160</v>
      </c>
      <c r="F60" s="42" t="s">
        <v>160</v>
      </c>
      <c r="G60" s="42" t="s">
        <v>141</v>
      </c>
      <c r="H60" s="42" t="s">
        <v>146</v>
      </c>
      <c r="I60" s="42">
        <v>9</v>
      </c>
      <c r="J60" s="45" t="s">
        <v>147</v>
      </c>
      <c r="K60" s="42" t="s">
        <v>210</v>
      </c>
      <c r="L60" s="42" t="s">
        <v>210</v>
      </c>
      <c r="M60" s="44" t="s">
        <v>247</v>
      </c>
    </row>
    <row r="61" spans="1:13" x14ac:dyDescent="0.35">
      <c r="A61" s="42">
        <v>889</v>
      </c>
      <c r="B61" s="42" t="s">
        <v>136</v>
      </c>
      <c r="C61" s="42" t="s">
        <v>199</v>
      </c>
      <c r="D61" s="42" t="s">
        <v>159</v>
      </c>
      <c r="E61" s="42" t="s">
        <v>160</v>
      </c>
      <c r="F61" s="42" t="s">
        <v>160</v>
      </c>
      <c r="G61" s="42" t="s">
        <v>141</v>
      </c>
      <c r="H61" s="42" t="s">
        <v>150</v>
      </c>
      <c r="I61" s="42"/>
      <c r="J61" s="45" t="s">
        <v>147</v>
      </c>
      <c r="K61" s="42" t="s">
        <v>78</v>
      </c>
      <c r="L61" s="42" t="s">
        <v>78</v>
      </c>
      <c r="M61" s="44" t="s">
        <v>248</v>
      </c>
    </row>
    <row r="62" spans="1:13" x14ac:dyDescent="0.35">
      <c r="A62" s="42">
        <v>889</v>
      </c>
      <c r="B62" s="42" t="s">
        <v>136</v>
      </c>
      <c r="C62" s="42" t="s">
        <v>199</v>
      </c>
      <c r="D62" s="42" t="s">
        <v>159</v>
      </c>
      <c r="E62" s="42" t="s">
        <v>160</v>
      </c>
      <c r="F62" s="42" t="s">
        <v>160</v>
      </c>
      <c r="G62" s="42" t="s">
        <v>141</v>
      </c>
      <c r="H62" s="42" t="s">
        <v>156</v>
      </c>
      <c r="I62" s="42"/>
      <c r="J62" s="43" t="s">
        <v>143</v>
      </c>
      <c r="K62" s="42" t="s">
        <v>82</v>
      </c>
      <c r="L62" s="42" t="s">
        <v>82</v>
      </c>
      <c r="M62" s="44" t="s">
        <v>249</v>
      </c>
    </row>
    <row r="63" spans="1:13" x14ac:dyDescent="0.35">
      <c r="A63" s="42">
        <v>889</v>
      </c>
      <c r="B63" s="42" t="s">
        <v>136</v>
      </c>
      <c r="C63" s="42" t="s">
        <v>199</v>
      </c>
      <c r="D63" s="42" t="s">
        <v>159</v>
      </c>
      <c r="E63" s="42" t="s">
        <v>160</v>
      </c>
      <c r="F63" s="42" t="s">
        <v>160</v>
      </c>
      <c r="G63" s="42" t="s">
        <v>141</v>
      </c>
      <c r="H63" s="42" t="s">
        <v>156</v>
      </c>
      <c r="I63" s="42"/>
      <c r="J63" s="43" t="s">
        <v>143</v>
      </c>
      <c r="K63" s="42" t="s">
        <v>144</v>
      </c>
      <c r="L63" s="42" t="s">
        <v>250</v>
      </c>
      <c r="M63" s="44" t="s">
        <v>251</v>
      </c>
    </row>
    <row r="64" spans="1:13" x14ac:dyDescent="0.35">
      <c r="A64" s="42">
        <v>904</v>
      </c>
      <c r="B64" s="42" t="s">
        <v>136</v>
      </c>
      <c r="C64" s="42" t="s">
        <v>199</v>
      </c>
      <c r="D64" s="42" t="s">
        <v>138</v>
      </c>
      <c r="E64" s="42" t="s">
        <v>160</v>
      </c>
      <c r="F64" s="42" t="s">
        <v>160</v>
      </c>
      <c r="G64" s="42" t="s">
        <v>141</v>
      </c>
      <c r="H64" s="42" t="s">
        <v>177</v>
      </c>
      <c r="I64" s="42">
        <v>6</v>
      </c>
      <c r="J64" s="43" t="s">
        <v>143</v>
      </c>
      <c r="K64" s="42" t="s">
        <v>196</v>
      </c>
      <c r="L64" s="42" t="s">
        <v>252</v>
      </c>
      <c r="M64" s="44" t="s">
        <v>253</v>
      </c>
    </row>
    <row r="65" spans="1:13" x14ac:dyDescent="0.35">
      <c r="A65" s="42">
        <v>904</v>
      </c>
      <c r="B65" s="42" t="s">
        <v>136</v>
      </c>
      <c r="C65" s="42" t="s">
        <v>199</v>
      </c>
      <c r="D65" s="42" t="s">
        <v>138</v>
      </c>
      <c r="E65" s="42" t="s">
        <v>160</v>
      </c>
      <c r="F65" s="42" t="s">
        <v>160</v>
      </c>
      <c r="G65" s="42" t="s">
        <v>141</v>
      </c>
      <c r="H65" s="42" t="s">
        <v>146</v>
      </c>
      <c r="I65" s="42">
        <v>9</v>
      </c>
      <c r="J65" s="45" t="s">
        <v>147</v>
      </c>
      <c r="K65" s="42" t="s">
        <v>82</v>
      </c>
      <c r="L65" s="42" t="s">
        <v>254</v>
      </c>
      <c r="M65" s="44" t="s">
        <v>255</v>
      </c>
    </row>
    <row r="66" spans="1:13" x14ac:dyDescent="0.35">
      <c r="A66" s="42">
        <v>904</v>
      </c>
      <c r="B66" s="42" t="s">
        <v>136</v>
      </c>
      <c r="C66" s="42" t="s">
        <v>199</v>
      </c>
      <c r="D66" s="42" t="s">
        <v>138</v>
      </c>
      <c r="E66" s="42" t="s">
        <v>160</v>
      </c>
      <c r="F66" s="42" t="s">
        <v>160</v>
      </c>
      <c r="G66" s="42" t="s">
        <v>141</v>
      </c>
      <c r="H66" s="42" t="s">
        <v>150</v>
      </c>
      <c r="I66" s="42"/>
      <c r="J66" s="45" t="s">
        <v>147</v>
      </c>
      <c r="K66" s="42" t="s">
        <v>78</v>
      </c>
      <c r="L66" s="42" t="s">
        <v>78</v>
      </c>
      <c r="M66" s="44" t="s">
        <v>256</v>
      </c>
    </row>
    <row r="67" spans="1:13" x14ac:dyDescent="0.35">
      <c r="A67" s="42">
        <v>904</v>
      </c>
      <c r="B67" s="42" t="s">
        <v>136</v>
      </c>
      <c r="C67" s="42" t="s">
        <v>199</v>
      </c>
      <c r="D67" s="42" t="s">
        <v>138</v>
      </c>
      <c r="E67" s="42" t="s">
        <v>160</v>
      </c>
      <c r="F67" s="42" t="s">
        <v>160</v>
      </c>
      <c r="G67" s="42" t="s">
        <v>141</v>
      </c>
      <c r="H67" s="42" t="s">
        <v>150</v>
      </c>
      <c r="I67" s="42"/>
      <c r="J67" s="45" t="s">
        <v>147</v>
      </c>
      <c r="K67" s="42" t="s">
        <v>144</v>
      </c>
      <c r="L67" s="42" t="s">
        <v>144</v>
      </c>
      <c r="M67" s="44" t="s">
        <v>257</v>
      </c>
    </row>
    <row r="68" spans="1:13" x14ac:dyDescent="0.35">
      <c r="A68" s="42">
        <v>904</v>
      </c>
      <c r="B68" s="42" t="s">
        <v>136</v>
      </c>
      <c r="C68" s="42" t="s">
        <v>199</v>
      </c>
      <c r="D68" s="42" t="s">
        <v>138</v>
      </c>
      <c r="E68" s="42" t="s">
        <v>160</v>
      </c>
      <c r="F68" s="42" t="s">
        <v>160</v>
      </c>
      <c r="G68" s="42" t="s">
        <v>141</v>
      </c>
      <c r="H68" s="42" t="s">
        <v>150</v>
      </c>
      <c r="I68" s="42"/>
      <c r="J68" s="45" t="s">
        <v>147</v>
      </c>
      <c r="K68" s="42" t="s">
        <v>78</v>
      </c>
      <c r="L68" s="42" t="s">
        <v>78</v>
      </c>
      <c r="M68" s="44" t="s">
        <v>258</v>
      </c>
    </row>
    <row r="69" spans="1:13" x14ac:dyDescent="0.35">
      <c r="A69" s="42">
        <v>904</v>
      </c>
      <c r="B69" s="42" t="s">
        <v>136</v>
      </c>
      <c r="C69" s="42" t="s">
        <v>199</v>
      </c>
      <c r="D69" s="42" t="s">
        <v>138</v>
      </c>
      <c r="E69" s="42" t="s">
        <v>160</v>
      </c>
      <c r="F69" s="42" t="s">
        <v>160</v>
      </c>
      <c r="G69" s="42" t="s">
        <v>141</v>
      </c>
      <c r="H69" s="42" t="s">
        <v>156</v>
      </c>
      <c r="I69" s="42"/>
      <c r="J69" s="43" t="s">
        <v>143</v>
      </c>
      <c r="K69" s="42" t="s">
        <v>190</v>
      </c>
      <c r="L69" s="42" t="s">
        <v>190</v>
      </c>
      <c r="M69" s="44" t="s">
        <v>259</v>
      </c>
    </row>
    <row r="70" spans="1:13" x14ac:dyDescent="0.35">
      <c r="A70" s="42">
        <v>904</v>
      </c>
      <c r="B70" s="42" t="s">
        <v>136</v>
      </c>
      <c r="C70" s="42" t="s">
        <v>199</v>
      </c>
      <c r="D70" s="42" t="s">
        <v>138</v>
      </c>
      <c r="E70" s="42" t="s">
        <v>160</v>
      </c>
      <c r="F70" s="42" t="s">
        <v>160</v>
      </c>
      <c r="G70" s="42" t="s">
        <v>141</v>
      </c>
      <c r="H70" s="42" t="s">
        <v>156</v>
      </c>
      <c r="I70" s="42"/>
      <c r="J70" s="43" t="s">
        <v>143</v>
      </c>
      <c r="K70" s="42" t="s">
        <v>184</v>
      </c>
      <c r="L70" s="42" t="s">
        <v>260</v>
      </c>
      <c r="M70" s="44" t="s">
        <v>261</v>
      </c>
    </row>
    <row r="71" spans="1:13" x14ac:dyDescent="0.35">
      <c r="A71" s="42">
        <v>904</v>
      </c>
      <c r="B71" s="42" t="s">
        <v>136</v>
      </c>
      <c r="C71" s="42" t="s">
        <v>199</v>
      </c>
      <c r="D71" s="42" t="s">
        <v>138</v>
      </c>
      <c r="E71" s="42" t="s">
        <v>160</v>
      </c>
      <c r="F71" s="42" t="s">
        <v>160</v>
      </c>
      <c r="G71" s="42" t="s">
        <v>141</v>
      </c>
      <c r="H71" s="42" t="s">
        <v>156</v>
      </c>
      <c r="I71" s="42"/>
      <c r="J71" s="43" t="s">
        <v>143</v>
      </c>
      <c r="K71" s="42" t="s">
        <v>262</v>
      </c>
      <c r="L71" s="42" t="s">
        <v>263</v>
      </c>
      <c r="M71" s="44" t="s">
        <v>264</v>
      </c>
    </row>
    <row r="72" spans="1:13" x14ac:dyDescent="0.35">
      <c r="A72" s="42">
        <v>1010</v>
      </c>
      <c r="B72" s="42" t="s">
        <v>136</v>
      </c>
      <c r="C72" s="42" t="s">
        <v>199</v>
      </c>
      <c r="D72" s="42" t="s">
        <v>159</v>
      </c>
      <c r="E72" s="42" t="s">
        <v>160</v>
      </c>
      <c r="F72" s="42" t="s">
        <v>160</v>
      </c>
      <c r="G72" s="42" t="s">
        <v>141</v>
      </c>
      <c r="H72" s="42" t="s">
        <v>163</v>
      </c>
      <c r="I72" s="42"/>
      <c r="J72" s="45" t="s">
        <v>147</v>
      </c>
      <c r="K72" s="42" t="s">
        <v>210</v>
      </c>
      <c r="L72" s="42" t="s">
        <v>210</v>
      </c>
      <c r="M72" s="44" t="s">
        <v>265</v>
      </c>
    </row>
    <row r="73" spans="1:13" x14ac:dyDescent="0.35">
      <c r="A73" s="42">
        <v>1010</v>
      </c>
      <c r="B73" s="42" t="s">
        <v>136</v>
      </c>
      <c r="C73" s="42" t="s">
        <v>199</v>
      </c>
      <c r="D73" s="42" t="s">
        <v>159</v>
      </c>
      <c r="E73" s="42" t="s">
        <v>160</v>
      </c>
      <c r="F73" s="42" t="s">
        <v>160</v>
      </c>
      <c r="G73" s="42" t="s">
        <v>141</v>
      </c>
      <c r="H73" s="42" t="s">
        <v>146</v>
      </c>
      <c r="I73" s="42">
        <v>9</v>
      </c>
      <c r="J73" s="45" t="s">
        <v>147</v>
      </c>
      <c r="K73" s="42" t="s">
        <v>78</v>
      </c>
      <c r="L73" s="42" t="s">
        <v>78</v>
      </c>
      <c r="M73" s="44" t="s">
        <v>266</v>
      </c>
    </row>
    <row r="74" spans="1:13" x14ac:dyDescent="0.35">
      <c r="A74" s="42">
        <v>1010</v>
      </c>
      <c r="B74" s="42" t="s">
        <v>136</v>
      </c>
      <c r="C74" s="42" t="s">
        <v>199</v>
      </c>
      <c r="D74" s="42" t="s">
        <v>159</v>
      </c>
      <c r="E74" s="42" t="s">
        <v>160</v>
      </c>
      <c r="F74" s="42" t="s">
        <v>160</v>
      </c>
      <c r="G74" s="42" t="s">
        <v>141</v>
      </c>
      <c r="H74" s="42" t="s">
        <v>150</v>
      </c>
      <c r="I74" s="42"/>
      <c r="J74" s="45" t="s">
        <v>147</v>
      </c>
      <c r="K74" s="42" t="s">
        <v>196</v>
      </c>
      <c r="L74" s="42" t="s">
        <v>196</v>
      </c>
      <c r="M74" s="44" t="s">
        <v>267</v>
      </c>
    </row>
    <row r="75" spans="1:13" x14ac:dyDescent="0.35">
      <c r="A75" s="42">
        <v>1010</v>
      </c>
      <c r="B75" s="42" t="s">
        <v>136</v>
      </c>
      <c r="C75" s="42" t="s">
        <v>199</v>
      </c>
      <c r="D75" s="42" t="s">
        <v>159</v>
      </c>
      <c r="E75" s="42" t="s">
        <v>160</v>
      </c>
      <c r="F75" s="42" t="s">
        <v>160</v>
      </c>
      <c r="G75" s="42" t="s">
        <v>141</v>
      </c>
      <c r="H75" s="42" t="s">
        <v>150</v>
      </c>
      <c r="I75" s="42"/>
      <c r="J75" s="45" t="s">
        <v>147</v>
      </c>
      <c r="K75" s="42" t="s">
        <v>268</v>
      </c>
      <c r="L75" s="42" t="s">
        <v>268</v>
      </c>
      <c r="M75" s="44" t="s">
        <v>269</v>
      </c>
    </row>
    <row r="76" spans="1:13" x14ac:dyDescent="0.35">
      <c r="A76" s="42">
        <v>1010</v>
      </c>
      <c r="B76" s="42" t="s">
        <v>136</v>
      </c>
      <c r="C76" s="42" t="s">
        <v>199</v>
      </c>
      <c r="D76" s="42" t="s">
        <v>159</v>
      </c>
      <c r="E76" s="42" t="s">
        <v>160</v>
      </c>
      <c r="F76" s="42" t="s">
        <v>160</v>
      </c>
      <c r="G76" s="42" t="s">
        <v>141</v>
      </c>
      <c r="H76" s="42" t="s">
        <v>150</v>
      </c>
      <c r="I76" s="42"/>
      <c r="J76" s="45" t="s">
        <v>147</v>
      </c>
      <c r="K76" s="42" t="s">
        <v>78</v>
      </c>
      <c r="L76" s="42" t="s">
        <v>78</v>
      </c>
      <c r="M76" s="44" t="s">
        <v>270</v>
      </c>
    </row>
    <row r="77" spans="1:13" x14ac:dyDescent="0.35">
      <c r="A77" s="42">
        <v>1010</v>
      </c>
      <c r="B77" s="42" t="s">
        <v>136</v>
      </c>
      <c r="C77" s="42" t="s">
        <v>199</v>
      </c>
      <c r="D77" s="42" t="s">
        <v>159</v>
      </c>
      <c r="E77" s="42" t="s">
        <v>160</v>
      </c>
      <c r="F77" s="42" t="s">
        <v>160</v>
      </c>
      <c r="G77" s="42" t="s">
        <v>141</v>
      </c>
      <c r="H77" s="42" t="s">
        <v>156</v>
      </c>
      <c r="I77" s="42"/>
      <c r="J77" s="43" t="s">
        <v>143</v>
      </c>
      <c r="K77" s="42" t="s">
        <v>184</v>
      </c>
      <c r="L77" s="42" t="s">
        <v>184</v>
      </c>
      <c r="M77" s="44" t="s">
        <v>271</v>
      </c>
    </row>
    <row r="78" spans="1:13" x14ac:dyDescent="0.35">
      <c r="A78" s="42">
        <v>1010</v>
      </c>
      <c r="B78" s="42" t="s">
        <v>136</v>
      </c>
      <c r="C78" s="42" t="s">
        <v>199</v>
      </c>
      <c r="D78" s="42" t="s">
        <v>159</v>
      </c>
      <c r="E78" s="42" t="s">
        <v>160</v>
      </c>
      <c r="F78" s="42" t="s">
        <v>160</v>
      </c>
      <c r="G78" s="42" t="s">
        <v>141</v>
      </c>
      <c r="H78" s="42" t="s">
        <v>156</v>
      </c>
      <c r="I78" s="42"/>
      <c r="J78" s="43" t="s">
        <v>143</v>
      </c>
      <c r="K78" s="42" t="s">
        <v>184</v>
      </c>
      <c r="L78" s="42" t="s">
        <v>184</v>
      </c>
      <c r="M78" s="44" t="s">
        <v>272</v>
      </c>
    </row>
    <row r="79" spans="1:13" x14ac:dyDescent="0.35">
      <c r="A79" s="42">
        <v>1010</v>
      </c>
      <c r="B79" s="42" t="s">
        <v>136</v>
      </c>
      <c r="C79" s="42" t="s">
        <v>199</v>
      </c>
      <c r="D79" s="42" t="s">
        <v>159</v>
      </c>
      <c r="E79" s="42" t="s">
        <v>160</v>
      </c>
      <c r="F79" s="42" t="s">
        <v>160</v>
      </c>
      <c r="G79" s="42" t="s">
        <v>141</v>
      </c>
      <c r="H79" s="42" t="s">
        <v>156</v>
      </c>
      <c r="I79" s="42"/>
      <c r="J79" s="43" t="s">
        <v>143</v>
      </c>
      <c r="K79" s="42" t="s">
        <v>144</v>
      </c>
      <c r="L79" s="42" t="s">
        <v>144</v>
      </c>
      <c r="M79" s="44" t="s">
        <v>273</v>
      </c>
    </row>
    <row r="80" spans="1:13" x14ac:dyDescent="0.35">
      <c r="A80" s="42">
        <v>819</v>
      </c>
      <c r="B80" s="42" t="s">
        <v>136</v>
      </c>
      <c r="C80" s="42" t="s">
        <v>199</v>
      </c>
      <c r="D80" s="42" t="s">
        <v>159</v>
      </c>
      <c r="E80" s="42" t="s">
        <v>274</v>
      </c>
      <c r="F80" s="42" t="s">
        <v>140</v>
      </c>
      <c r="G80" s="42" t="s">
        <v>141</v>
      </c>
      <c r="H80" s="42" t="s">
        <v>163</v>
      </c>
      <c r="I80" s="42"/>
      <c r="J80" s="43" t="s">
        <v>143</v>
      </c>
      <c r="K80" s="42" t="s">
        <v>144</v>
      </c>
      <c r="L80" s="42" t="s">
        <v>164</v>
      </c>
      <c r="M80" s="44" t="s">
        <v>275</v>
      </c>
    </row>
    <row r="81" spans="1:13" ht="25" x14ac:dyDescent="0.35">
      <c r="A81" s="42">
        <v>819</v>
      </c>
      <c r="B81" s="42" t="s">
        <v>136</v>
      </c>
      <c r="C81" s="42" t="s">
        <v>199</v>
      </c>
      <c r="D81" s="42" t="s">
        <v>159</v>
      </c>
      <c r="E81" s="42" t="s">
        <v>274</v>
      </c>
      <c r="F81" s="42" t="s">
        <v>140</v>
      </c>
      <c r="G81" s="42" t="s">
        <v>141</v>
      </c>
      <c r="H81" s="42" t="s">
        <v>177</v>
      </c>
      <c r="I81" s="42">
        <v>1</v>
      </c>
      <c r="J81" s="43" t="s">
        <v>143</v>
      </c>
      <c r="K81" s="42" t="s">
        <v>193</v>
      </c>
      <c r="L81" s="42" t="s">
        <v>276</v>
      </c>
      <c r="M81" s="44" t="s">
        <v>277</v>
      </c>
    </row>
    <row r="82" spans="1:13" x14ac:dyDescent="0.35">
      <c r="A82" s="42">
        <v>819</v>
      </c>
      <c r="B82" s="42" t="s">
        <v>136</v>
      </c>
      <c r="C82" s="42" t="s">
        <v>199</v>
      </c>
      <c r="D82" s="42" t="s">
        <v>159</v>
      </c>
      <c r="E82" s="42" t="s">
        <v>274</v>
      </c>
      <c r="F82" s="42" t="s">
        <v>140</v>
      </c>
      <c r="G82" s="42" t="s">
        <v>141</v>
      </c>
      <c r="H82" s="42" t="s">
        <v>166</v>
      </c>
      <c r="I82" s="42">
        <v>2</v>
      </c>
      <c r="J82" s="43" t="s">
        <v>143</v>
      </c>
      <c r="K82" s="42" t="s">
        <v>50</v>
      </c>
      <c r="L82" s="42" t="s">
        <v>167</v>
      </c>
      <c r="M82" s="44" t="s">
        <v>278</v>
      </c>
    </row>
    <row r="83" spans="1:13" x14ac:dyDescent="0.35">
      <c r="A83" s="42">
        <v>819</v>
      </c>
      <c r="B83" s="42" t="s">
        <v>136</v>
      </c>
      <c r="C83" s="42" t="s">
        <v>199</v>
      </c>
      <c r="D83" s="42" t="s">
        <v>159</v>
      </c>
      <c r="E83" s="42" t="s">
        <v>274</v>
      </c>
      <c r="F83" s="42" t="s">
        <v>140</v>
      </c>
      <c r="G83" s="42" t="s">
        <v>141</v>
      </c>
      <c r="H83" s="42" t="s">
        <v>180</v>
      </c>
      <c r="I83" s="42">
        <v>3</v>
      </c>
      <c r="J83" s="43" t="s">
        <v>143</v>
      </c>
      <c r="K83" s="42" t="s">
        <v>187</v>
      </c>
      <c r="L83" s="42" t="s">
        <v>279</v>
      </c>
      <c r="M83" s="44" t="s">
        <v>280</v>
      </c>
    </row>
    <row r="84" spans="1:13" ht="25" x14ac:dyDescent="0.35">
      <c r="A84" s="42">
        <v>819</v>
      </c>
      <c r="B84" s="42" t="s">
        <v>136</v>
      </c>
      <c r="C84" s="42" t="s">
        <v>199</v>
      </c>
      <c r="D84" s="42" t="s">
        <v>159</v>
      </c>
      <c r="E84" s="42" t="s">
        <v>274</v>
      </c>
      <c r="F84" s="42" t="s">
        <v>140</v>
      </c>
      <c r="G84" s="42" t="s">
        <v>141</v>
      </c>
      <c r="H84" s="42" t="s">
        <v>146</v>
      </c>
      <c r="I84" s="42">
        <v>3</v>
      </c>
      <c r="J84" s="43" t="s">
        <v>143</v>
      </c>
      <c r="K84" s="42" t="s">
        <v>190</v>
      </c>
      <c r="L84" s="42" t="s">
        <v>190</v>
      </c>
      <c r="M84" s="44" t="s">
        <v>281</v>
      </c>
    </row>
    <row r="85" spans="1:13" x14ac:dyDescent="0.35">
      <c r="A85" s="42">
        <v>819</v>
      </c>
      <c r="B85" s="42" t="s">
        <v>136</v>
      </c>
      <c r="C85" s="42" t="s">
        <v>199</v>
      </c>
      <c r="D85" s="42" t="s">
        <v>159</v>
      </c>
      <c r="E85" s="42" t="s">
        <v>274</v>
      </c>
      <c r="F85" s="42" t="s">
        <v>140</v>
      </c>
      <c r="G85" s="42" t="s">
        <v>141</v>
      </c>
      <c r="H85" s="42" t="s">
        <v>150</v>
      </c>
      <c r="I85" s="42"/>
      <c r="J85" s="45" t="s">
        <v>147</v>
      </c>
      <c r="K85" s="42" t="s">
        <v>210</v>
      </c>
      <c r="L85" s="42" t="s">
        <v>210</v>
      </c>
      <c r="M85" s="44" t="s">
        <v>282</v>
      </c>
    </row>
    <row r="86" spans="1:13" x14ac:dyDescent="0.35">
      <c r="A86" s="42">
        <v>819</v>
      </c>
      <c r="B86" s="42" t="s">
        <v>136</v>
      </c>
      <c r="C86" s="42" t="s">
        <v>199</v>
      </c>
      <c r="D86" s="42" t="s">
        <v>159</v>
      </c>
      <c r="E86" s="42" t="s">
        <v>274</v>
      </c>
      <c r="F86" s="42" t="s">
        <v>140</v>
      </c>
      <c r="G86" s="42" t="s">
        <v>141</v>
      </c>
      <c r="H86" s="42" t="s">
        <v>156</v>
      </c>
      <c r="I86" s="42"/>
      <c r="J86" s="43" t="s">
        <v>143</v>
      </c>
      <c r="K86" s="42" t="s">
        <v>196</v>
      </c>
      <c r="L86" s="42" t="s">
        <v>196</v>
      </c>
      <c r="M86" s="44" t="s">
        <v>283</v>
      </c>
    </row>
    <row r="87" spans="1:13" x14ac:dyDescent="0.35">
      <c r="A87" s="42">
        <v>819</v>
      </c>
      <c r="B87" s="42" t="s">
        <v>136</v>
      </c>
      <c r="C87" s="42" t="s">
        <v>199</v>
      </c>
      <c r="D87" s="42" t="s">
        <v>159</v>
      </c>
      <c r="E87" s="42" t="s">
        <v>274</v>
      </c>
      <c r="F87" s="42" t="s">
        <v>140</v>
      </c>
      <c r="G87" s="42" t="s">
        <v>141</v>
      </c>
      <c r="H87" s="42" t="s">
        <v>156</v>
      </c>
      <c r="I87" s="42"/>
      <c r="J87" s="43" t="s">
        <v>143</v>
      </c>
      <c r="K87" s="42" t="s">
        <v>210</v>
      </c>
      <c r="L87" s="42" t="s">
        <v>210</v>
      </c>
      <c r="M87" s="44" t="s">
        <v>284</v>
      </c>
    </row>
    <row r="88" spans="1:13" ht="37.5" x14ac:dyDescent="0.35">
      <c r="A88" s="42">
        <v>822</v>
      </c>
      <c r="B88" s="42" t="s">
        <v>136</v>
      </c>
      <c r="C88" s="42" t="s">
        <v>137</v>
      </c>
      <c r="D88" s="42" t="s">
        <v>176</v>
      </c>
      <c r="E88" s="42" t="s">
        <v>139</v>
      </c>
      <c r="F88" s="42" t="s">
        <v>140</v>
      </c>
      <c r="G88" s="42" t="s">
        <v>141</v>
      </c>
      <c r="H88" s="42" t="s">
        <v>166</v>
      </c>
      <c r="I88" s="42">
        <v>6</v>
      </c>
      <c r="J88" s="43" t="s">
        <v>143</v>
      </c>
      <c r="K88" s="42" t="s">
        <v>196</v>
      </c>
      <c r="L88" s="42" t="s">
        <v>285</v>
      </c>
      <c r="M88" s="44" t="s">
        <v>286</v>
      </c>
    </row>
    <row r="89" spans="1:13" ht="37.5" x14ac:dyDescent="0.35">
      <c r="A89" s="42">
        <v>822</v>
      </c>
      <c r="B89" s="42" t="s">
        <v>136</v>
      </c>
      <c r="C89" s="42" t="s">
        <v>137</v>
      </c>
      <c r="D89" s="42" t="s">
        <v>176</v>
      </c>
      <c r="E89" s="42" t="s">
        <v>139</v>
      </c>
      <c r="F89" s="42" t="s">
        <v>140</v>
      </c>
      <c r="G89" s="42" t="s">
        <v>141</v>
      </c>
      <c r="H89" s="42" t="s">
        <v>146</v>
      </c>
      <c r="I89" s="42">
        <v>7</v>
      </c>
      <c r="J89" s="46" t="s">
        <v>222</v>
      </c>
      <c r="K89" s="42" t="s">
        <v>144</v>
      </c>
      <c r="L89" s="42" t="s">
        <v>287</v>
      </c>
      <c r="M89" s="44" t="s">
        <v>288</v>
      </c>
    </row>
    <row r="90" spans="1:13" x14ac:dyDescent="0.35">
      <c r="A90" s="42">
        <v>822</v>
      </c>
      <c r="B90" s="42" t="s">
        <v>136</v>
      </c>
      <c r="C90" s="42" t="s">
        <v>137</v>
      </c>
      <c r="D90" s="42" t="s">
        <v>176</v>
      </c>
      <c r="E90" s="42" t="s">
        <v>139</v>
      </c>
      <c r="F90" s="42" t="s">
        <v>140</v>
      </c>
      <c r="G90" s="42" t="s">
        <v>141</v>
      </c>
      <c r="H90" s="42" t="s">
        <v>150</v>
      </c>
      <c r="I90" s="42"/>
      <c r="J90" s="45" t="s">
        <v>147</v>
      </c>
      <c r="K90" s="42" t="s">
        <v>53</v>
      </c>
      <c r="L90" s="42" t="s">
        <v>289</v>
      </c>
      <c r="M90" s="44" t="s">
        <v>290</v>
      </c>
    </row>
    <row r="91" spans="1:13" x14ac:dyDescent="0.35">
      <c r="A91" s="42">
        <v>822</v>
      </c>
      <c r="B91" s="42" t="s">
        <v>136</v>
      </c>
      <c r="C91" s="42" t="s">
        <v>137</v>
      </c>
      <c r="D91" s="42" t="s">
        <v>176</v>
      </c>
      <c r="E91" s="42" t="s">
        <v>139</v>
      </c>
      <c r="F91" s="42" t="s">
        <v>140</v>
      </c>
      <c r="G91" s="42" t="s">
        <v>141</v>
      </c>
      <c r="H91" s="42" t="s">
        <v>150</v>
      </c>
      <c r="I91" s="42"/>
      <c r="J91" s="45" t="s">
        <v>147</v>
      </c>
      <c r="K91" s="42" t="s">
        <v>53</v>
      </c>
      <c r="L91" s="42" t="s">
        <v>291</v>
      </c>
      <c r="M91" s="44" t="s">
        <v>292</v>
      </c>
    </row>
    <row r="92" spans="1:13" x14ac:dyDescent="0.35">
      <c r="A92" s="42">
        <v>822</v>
      </c>
      <c r="B92" s="42" t="s">
        <v>136</v>
      </c>
      <c r="C92" s="42" t="s">
        <v>137</v>
      </c>
      <c r="D92" s="42" t="s">
        <v>176</v>
      </c>
      <c r="E92" s="42" t="s">
        <v>139</v>
      </c>
      <c r="F92" s="42" t="s">
        <v>140</v>
      </c>
      <c r="G92" s="42" t="s">
        <v>141</v>
      </c>
      <c r="H92" s="42" t="s">
        <v>150</v>
      </c>
      <c r="I92" s="42"/>
      <c r="J92" s="45" t="s">
        <v>147</v>
      </c>
      <c r="K92" s="42" t="s">
        <v>196</v>
      </c>
      <c r="L92" s="42" t="s">
        <v>217</v>
      </c>
      <c r="M92" s="44" t="s">
        <v>293</v>
      </c>
    </row>
    <row r="93" spans="1:13" x14ac:dyDescent="0.35">
      <c r="A93" s="42">
        <v>822</v>
      </c>
      <c r="B93" s="42" t="s">
        <v>136</v>
      </c>
      <c r="C93" s="42" t="s">
        <v>137</v>
      </c>
      <c r="D93" s="42" t="s">
        <v>176</v>
      </c>
      <c r="E93" s="42" t="s">
        <v>139</v>
      </c>
      <c r="F93" s="42" t="s">
        <v>140</v>
      </c>
      <c r="G93" s="42" t="s">
        <v>141</v>
      </c>
      <c r="H93" s="42" t="s">
        <v>150</v>
      </c>
      <c r="I93" s="42"/>
      <c r="J93" s="45" t="s">
        <v>147</v>
      </c>
      <c r="K93" s="42" t="s">
        <v>144</v>
      </c>
      <c r="L93" s="42" t="s">
        <v>294</v>
      </c>
      <c r="M93" s="44" t="s">
        <v>295</v>
      </c>
    </row>
    <row r="94" spans="1:13" x14ac:dyDescent="0.35">
      <c r="A94" s="42">
        <v>822</v>
      </c>
      <c r="B94" s="42" t="s">
        <v>136</v>
      </c>
      <c r="C94" s="42" t="s">
        <v>137</v>
      </c>
      <c r="D94" s="42" t="s">
        <v>176</v>
      </c>
      <c r="E94" s="42" t="s">
        <v>139</v>
      </c>
      <c r="F94" s="42" t="s">
        <v>140</v>
      </c>
      <c r="G94" s="42" t="s">
        <v>141</v>
      </c>
      <c r="H94" s="42" t="s">
        <v>156</v>
      </c>
      <c r="I94" s="42"/>
      <c r="J94" s="43" t="s">
        <v>143</v>
      </c>
      <c r="K94" s="42" t="s">
        <v>196</v>
      </c>
      <c r="L94" s="42" t="s">
        <v>196</v>
      </c>
      <c r="M94" s="44" t="s">
        <v>296</v>
      </c>
    </row>
    <row r="95" spans="1:13" x14ac:dyDescent="0.35">
      <c r="A95" s="42">
        <v>822</v>
      </c>
      <c r="B95" s="42" t="s">
        <v>136</v>
      </c>
      <c r="C95" s="42" t="s">
        <v>137</v>
      </c>
      <c r="D95" s="42" t="s">
        <v>176</v>
      </c>
      <c r="E95" s="42" t="s">
        <v>139</v>
      </c>
      <c r="F95" s="42" t="s">
        <v>140</v>
      </c>
      <c r="G95" s="42" t="s">
        <v>141</v>
      </c>
      <c r="H95" s="42" t="s">
        <v>156</v>
      </c>
      <c r="I95" s="42"/>
      <c r="J95" s="43" t="s">
        <v>143</v>
      </c>
      <c r="K95" s="42" t="s">
        <v>181</v>
      </c>
      <c r="L95" s="42" t="s">
        <v>181</v>
      </c>
      <c r="M95" s="44" t="s">
        <v>297</v>
      </c>
    </row>
    <row r="96" spans="1:13" x14ac:dyDescent="0.35">
      <c r="A96" s="42">
        <v>1018</v>
      </c>
      <c r="B96" s="42" t="s">
        <v>175</v>
      </c>
      <c r="C96" s="42" t="s">
        <v>199</v>
      </c>
      <c r="D96" s="42" t="s">
        <v>176</v>
      </c>
      <c r="E96" s="42" t="s">
        <v>160</v>
      </c>
      <c r="F96" s="42" t="s">
        <v>160</v>
      </c>
      <c r="G96" s="42" t="s">
        <v>141</v>
      </c>
      <c r="H96" s="42" t="s">
        <v>146</v>
      </c>
      <c r="I96" s="42">
        <v>9</v>
      </c>
      <c r="J96" s="45" t="s">
        <v>147</v>
      </c>
      <c r="K96" s="42" t="s">
        <v>196</v>
      </c>
      <c r="L96" s="42" t="s">
        <v>298</v>
      </c>
      <c r="M96" s="44" t="s">
        <v>299</v>
      </c>
    </row>
    <row r="97" spans="1:13" x14ac:dyDescent="0.35">
      <c r="A97" s="42">
        <v>1018</v>
      </c>
      <c r="B97" s="42" t="s">
        <v>175</v>
      </c>
      <c r="C97" s="42" t="s">
        <v>199</v>
      </c>
      <c r="D97" s="42" t="s">
        <v>176</v>
      </c>
      <c r="E97" s="42" t="s">
        <v>160</v>
      </c>
      <c r="F97" s="42" t="s">
        <v>160</v>
      </c>
      <c r="G97" s="42" t="s">
        <v>141</v>
      </c>
      <c r="H97" s="42" t="s">
        <v>150</v>
      </c>
      <c r="I97" s="42"/>
      <c r="J97" s="45" t="s">
        <v>147</v>
      </c>
      <c r="K97" s="42" t="s">
        <v>181</v>
      </c>
      <c r="L97" s="42" t="s">
        <v>181</v>
      </c>
      <c r="M97" s="44" t="s">
        <v>300</v>
      </c>
    </row>
    <row r="98" spans="1:13" x14ac:dyDescent="0.35">
      <c r="A98" s="42">
        <v>1018</v>
      </c>
      <c r="B98" s="42" t="s">
        <v>175</v>
      </c>
      <c r="C98" s="42" t="s">
        <v>199</v>
      </c>
      <c r="D98" s="42" t="s">
        <v>176</v>
      </c>
      <c r="E98" s="42" t="s">
        <v>160</v>
      </c>
      <c r="F98" s="42" t="s">
        <v>160</v>
      </c>
      <c r="G98" s="42" t="s">
        <v>141</v>
      </c>
      <c r="H98" s="42" t="s">
        <v>150</v>
      </c>
      <c r="I98" s="42"/>
      <c r="J98" s="45" t="s">
        <v>147</v>
      </c>
      <c r="K98" s="42" t="s">
        <v>196</v>
      </c>
      <c r="L98" s="42" t="s">
        <v>196</v>
      </c>
      <c r="M98" s="44" t="s">
        <v>267</v>
      </c>
    </row>
    <row r="99" spans="1:13" x14ac:dyDescent="0.35">
      <c r="A99" s="42">
        <v>1018</v>
      </c>
      <c r="B99" s="42" t="s">
        <v>175</v>
      </c>
      <c r="C99" s="42" t="s">
        <v>199</v>
      </c>
      <c r="D99" s="42" t="s">
        <v>176</v>
      </c>
      <c r="E99" s="42" t="s">
        <v>160</v>
      </c>
      <c r="F99" s="42" t="s">
        <v>160</v>
      </c>
      <c r="G99" s="42" t="s">
        <v>141</v>
      </c>
      <c r="H99" s="42" t="s">
        <v>150</v>
      </c>
      <c r="I99" s="42"/>
      <c r="J99" s="45" t="s">
        <v>147</v>
      </c>
      <c r="K99" s="42" t="s">
        <v>78</v>
      </c>
      <c r="L99" s="42" t="s">
        <v>78</v>
      </c>
      <c r="M99" s="44" t="s">
        <v>301</v>
      </c>
    </row>
    <row r="100" spans="1:13" x14ac:dyDescent="0.35">
      <c r="A100" s="42">
        <v>1018</v>
      </c>
      <c r="B100" s="42" t="s">
        <v>175</v>
      </c>
      <c r="C100" s="42" t="s">
        <v>199</v>
      </c>
      <c r="D100" s="42" t="s">
        <v>176</v>
      </c>
      <c r="E100" s="42" t="s">
        <v>160</v>
      </c>
      <c r="F100" s="42" t="s">
        <v>160</v>
      </c>
      <c r="G100" s="42" t="s">
        <v>141</v>
      </c>
      <c r="H100" s="42" t="s">
        <v>156</v>
      </c>
      <c r="I100" s="42"/>
      <c r="J100" s="43" t="s">
        <v>143</v>
      </c>
      <c r="K100" s="42" t="s">
        <v>80</v>
      </c>
      <c r="L100" s="42" t="s">
        <v>80</v>
      </c>
      <c r="M100" s="44" t="s">
        <v>302</v>
      </c>
    </row>
    <row r="101" spans="1:13" x14ac:dyDescent="0.35">
      <c r="A101" s="42">
        <v>1018</v>
      </c>
      <c r="B101" s="42" t="s">
        <v>175</v>
      </c>
      <c r="C101" s="42" t="s">
        <v>199</v>
      </c>
      <c r="D101" s="42" t="s">
        <v>176</v>
      </c>
      <c r="E101" s="42" t="s">
        <v>160</v>
      </c>
      <c r="F101" s="42" t="s">
        <v>160</v>
      </c>
      <c r="G101" s="42" t="s">
        <v>141</v>
      </c>
      <c r="H101" s="42" t="s">
        <v>156</v>
      </c>
      <c r="I101" s="42"/>
      <c r="J101" s="43" t="s">
        <v>143</v>
      </c>
      <c r="K101" s="42" t="s">
        <v>268</v>
      </c>
      <c r="L101" s="42" t="s">
        <v>303</v>
      </c>
      <c r="M101" s="44" t="s">
        <v>304</v>
      </c>
    </row>
    <row r="102" spans="1:13" x14ac:dyDescent="0.35">
      <c r="A102" s="42">
        <v>1018</v>
      </c>
      <c r="B102" s="42" t="s">
        <v>175</v>
      </c>
      <c r="C102" s="42" t="s">
        <v>199</v>
      </c>
      <c r="D102" s="42" t="s">
        <v>176</v>
      </c>
      <c r="E102" s="42" t="s">
        <v>160</v>
      </c>
      <c r="F102" s="42" t="s">
        <v>160</v>
      </c>
      <c r="G102" s="42" t="s">
        <v>141</v>
      </c>
      <c r="H102" s="42" t="s">
        <v>156</v>
      </c>
      <c r="I102" s="42"/>
      <c r="J102" s="43" t="s">
        <v>143</v>
      </c>
      <c r="K102" s="42" t="s">
        <v>305</v>
      </c>
      <c r="L102" s="42" t="s">
        <v>305</v>
      </c>
      <c r="M102" s="44" t="s">
        <v>306</v>
      </c>
    </row>
    <row r="103" spans="1:13" ht="25" x14ac:dyDescent="0.35">
      <c r="A103" s="42">
        <v>1031</v>
      </c>
      <c r="B103" s="42" t="s">
        <v>136</v>
      </c>
      <c r="C103" s="42" t="s">
        <v>137</v>
      </c>
      <c r="D103" s="42" t="s">
        <v>176</v>
      </c>
      <c r="E103" s="42" t="s">
        <v>160</v>
      </c>
      <c r="F103" s="42" t="s">
        <v>160</v>
      </c>
      <c r="G103" s="42" t="s">
        <v>141</v>
      </c>
      <c r="H103" s="42" t="s">
        <v>163</v>
      </c>
      <c r="I103" s="42"/>
      <c r="J103" s="45" t="s">
        <v>147</v>
      </c>
      <c r="K103" s="42" t="s">
        <v>262</v>
      </c>
      <c r="L103" s="42" t="s">
        <v>263</v>
      </c>
      <c r="M103" s="44" t="s">
        <v>307</v>
      </c>
    </row>
    <row r="104" spans="1:13" x14ac:dyDescent="0.35">
      <c r="A104" s="42">
        <v>1031</v>
      </c>
      <c r="B104" s="42" t="s">
        <v>136</v>
      </c>
      <c r="C104" s="42" t="s">
        <v>137</v>
      </c>
      <c r="D104" s="42" t="s">
        <v>176</v>
      </c>
      <c r="E104" s="42" t="s">
        <v>160</v>
      </c>
      <c r="F104" s="42" t="s">
        <v>160</v>
      </c>
      <c r="G104" s="42" t="s">
        <v>141</v>
      </c>
      <c r="H104" s="42" t="s">
        <v>177</v>
      </c>
      <c r="I104" s="42">
        <v>6</v>
      </c>
      <c r="J104" s="43" t="s">
        <v>143</v>
      </c>
      <c r="K104" s="42" t="s">
        <v>184</v>
      </c>
      <c r="L104" s="42" t="s">
        <v>308</v>
      </c>
      <c r="M104" s="44" t="s">
        <v>309</v>
      </c>
    </row>
    <row r="105" spans="1:13" ht="37.5" x14ac:dyDescent="0.35">
      <c r="A105" s="42">
        <v>1031</v>
      </c>
      <c r="B105" s="42" t="s">
        <v>136</v>
      </c>
      <c r="C105" s="42" t="s">
        <v>137</v>
      </c>
      <c r="D105" s="42" t="s">
        <v>176</v>
      </c>
      <c r="E105" s="42" t="s">
        <v>160</v>
      </c>
      <c r="F105" s="42" t="s">
        <v>160</v>
      </c>
      <c r="G105" s="42" t="s">
        <v>141</v>
      </c>
      <c r="H105" s="42" t="s">
        <v>146</v>
      </c>
      <c r="I105" s="42">
        <v>9</v>
      </c>
      <c r="J105" s="45" t="s">
        <v>147</v>
      </c>
      <c r="K105" s="42" t="s">
        <v>187</v>
      </c>
      <c r="L105" s="42" t="s">
        <v>310</v>
      </c>
      <c r="M105" s="44" t="s">
        <v>311</v>
      </c>
    </row>
    <row r="106" spans="1:13" x14ac:dyDescent="0.35">
      <c r="A106" s="42">
        <v>1031</v>
      </c>
      <c r="B106" s="42" t="s">
        <v>136</v>
      </c>
      <c r="C106" s="42" t="s">
        <v>137</v>
      </c>
      <c r="D106" s="42" t="s">
        <v>176</v>
      </c>
      <c r="E106" s="42" t="s">
        <v>160</v>
      </c>
      <c r="F106" s="42" t="s">
        <v>160</v>
      </c>
      <c r="G106" s="42" t="s">
        <v>141</v>
      </c>
      <c r="H106" s="42" t="s">
        <v>150</v>
      </c>
      <c r="I106" s="42"/>
      <c r="J106" s="45" t="s">
        <v>147</v>
      </c>
      <c r="K106" s="42" t="s">
        <v>144</v>
      </c>
      <c r="L106" s="42" t="s">
        <v>144</v>
      </c>
      <c r="M106" s="44" t="s">
        <v>273</v>
      </c>
    </row>
    <row r="107" spans="1:13" x14ac:dyDescent="0.35">
      <c r="A107" s="42">
        <v>1031</v>
      </c>
      <c r="B107" s="42" t="s">
        <v>136</v>
      </c>
      <c r="C107" s="42" t="s">
        <v>137</v>
      </c>
      <c r="D107" s="42" t="s">
        <v>176</v>
      </c>
      <c r="E107" s="42" t="s">
        <v>160</v>
      </c>
      <c r="F107" s="42" t="s">
        <v>160</v>
      </c>
      <c r="G107" s="42" t="s">
        <v>141</v>
      </c>
      <c r="H107" s="42" t="s">
        <v>150</v>
      </c>
      <c r="I107" s="42"/>
      <c r="J107" s="45" t="s">
        <v>147</v>
      </c>
      <c r="K107" s="42" t="s">
        <v>78</v>
      </c>
      <c r="L107" s="42" t="s">
        <v>78</v>
      </c>
      <c r="M107" s="44" t="s">
        <v>312</v>
      </c>
    </row>
    <row r="108" spans="1:13" x14ac:dyDescent="0.35">
      <c r="A108" s="42">
        <v>1031</v>
      </c>
      <c r="B108" s="42" t="s">
        <v>136</v>
      </c>
      <c r="C108" s="42" t="s">
        <v>137</v>
      </c>
      <c r="D108" s="42" t="s">
        <v>176</v>
      </c>
      <c r="E108" s="42" t="s">
        <v>160</v>
      </c>
      <c r="F108" s="42" t="s">
        <v>160</v>
      </c>
      <c r="G108" s="42" t="s">
        <v>141</v>
      </c>
      <c r="H108" s="42" t="s">
        <v>150</v>
      </c>
      <c r="I108" s="42"/>
      <c r="J108" s="45" t="s">
        <v>147</v>
      </c>
      <c r="K108" s="42" t="s">
        <v>262</v>
      </c>
      <c r="L108" s="42" t="s">
        <v>262</v>
      </c>
      <c r="M108" s="44" t="s">
        <v>313</v>
      </c>
    </row>
    <row r="109" spans="1:13" x14ac:dyDescent="0.35">
      <c r="A109" s="42">
        <v>1031</v>
      </c>
      <c r="B109" s="42" t="s">
        <v>136</v>
      </c>
      <c r="C109" s="42" t="s">
        <v>137</v>
      </c>
      <c r="D109" s="42" t="s">
        <v>176</v>
      </c>
      <c r="E109" s="42" t="s">
        <v>160</v>
      </c>
      <c r="F109" s="42" t="s">
        <v>160</v>
      </c>
      <c r="G109" s="42" t="s">
        <v>141</v>
      </c>
      <c r="H109" s="42" t="s">
        <v>156</v>
      </c>
      <c r="I109" s="42"/>
      <c r="J109" s="43" t="s">
        <v>143</v>
      </c>
      <c r="K109" s="42" t="s">
        <v>196</v>
      </c>
      <c r="L109" s="42" t="s">
        <v>196</v>
      </c>
      <c r="M109" s="44" t="s">
        <v>314</v>
      </c>
    </row>
    <row r="110" spans="1:13" x14ac:dyDescent="0.35">
      <c r="A110" s="42">
        <v>1031</v>
      </c>
      <c r="B110" s="42" t="s">
        <v>136</v>
      </c>
      <c r="C110" s="42" t="s">
        <v>137</v>
      </c>
      <c r="D110" s="42" t="s">
        <v>176</v>
      </c>
      <c r="E110" s="42" t="s">
        <v>160</v>
      </c>
      <c r="F110" s="42" t="s">
        <v>160</v>
      </c>
      <c r="G110" s="42" t="s">
        <v>141</v>
      </c>
      <c r="H110" s="42" t="s">
        <v>156</v>
      </c>
      <c r="I110" s="42"/>
      <c r="J110" s="43" t="s">
        <v>143</v>
      </c>
      <c r="K110" s="42" t="s">
        <v>196</v>
      </c>
      <c r="L110" s="42" t="s">
        <v>196</v>
      </c>
      <c r="M110" s="44" t="s">
        <v>315</v>
      </c>
    </row>
    <row r="111" spans="1:13" x14ac:dyDescent="0.35">
      <c r="A111" s="42">
        <v>1031</v>
      </c>
      <c r="B111" s="42" t="s">
        <v>136</v>
      </c>
      <c r="C111" s="42" t="s">
        <v>137</v>
      </c>
      <c r="D111" s="42" t="s">
        <v>176</v>
      </c>
      <c r="E111" s="42" t="s">
        <v>160</v>
      </c>
      <c r="F111" s="42" t="s">
        <v>160</v>
      </c>
      <c r="G111" s="42" t="s">
        <v>141</v>
      </c>
      <c r="H111" s="42" t="s">
        <v>156</v>
      </c>
      <c r="I111" s="42"/>
      <c r="J111" s="43" t="s">
        <v>143</v>
      </c>
      <c r="K111" s="42" t="s">
        <v>144</v>
      </c>
      <c r="L111" s="42" t="s">
        <v>164</v>
      </c>
      <c r="M111" s="44" t="s">
        <v>316</v>
      </c>
    </row>
    <row r="112" spans="1:13" ht="50" x14ac:dyDescent="0.35">
      <c r="A112" s="42">
        <v>831</v>
      </c>
      <c r="B112" s="42" t="s">
        <v>136</v>
      </c>
      <c r="C112" s="42" t="s">
        <v>199</v>
      </c>
      <c r="D112" s="42" t="s">
        <v>176</v>
      </c>
      <c r="E112" s="42" t="s">
        <v>139</v>
      </c>
      <c r="F112" s="42" t="s">
        <v>140</v>
      </c>
      <c r="G112" s="42" t="s">
        <v>141</v>
      </c>
      <c r="H112" s="42" t="s">
        <v>146</v>
      </c>
      <c r="I112" s="42">
        <v>8</v>
      </c>
      <c r="J112" s="46" t="s">
        <v>222</v>
      </c>
      <c r="K112" s="42" t="s">
        <v>196</v>
      </c>
      <c r="L112" s="42" t="s">
        <v>317</v>
      </c>
      <c r="M112" s="44" t="s">
        <v>318</v>
      </c>
    </row>
    <row r="113" spans="1:13" x14ac:dyDescent="0.35">
      <c r="A113" s="42">
        <v>831</v>
      </c>
      <c r="B113" s="42" t="s">
        <v>136</v>
      </c>
      <c r="C113" s="42" t="s">
        <v>199</v>
      </c>
      <c r="D113" s="42" t="s">
        <v>176</v>
      </c>
      <c r="E113" s="42" t="s">
        <v>139</v>
      </c>
      <c r="F113" s="42" t="s">
        <v>140</v>
      </c>
      <c r="G113" s="42" t="s">
        <v>141</v>
      </c>
      <c r="H113" s="42" t="s">
        <v>150</v>
      </c>
      <c r="I113" s="42"/>
      <c r="J113" s="45" t="s">
        <v>147</v>
      </c>
      <c r="K113" s="42" t="s">
        <v>78</v>
      </c>
      <c r="L113" s="42" t="s">
        <v>78</v>
      </c>
      <c r="M113" s="44" t="s">
        <v>319</v>
      </c>
    </row>
    <row r="114" spans="1:13" x14ac:dyDescent="0.35">
      <c r="A114" s="42">
        <v>831</v>
      </c>
      <c r="B114" s="42" t="s">
        <v>136</v>
      </c>
      <c r="C114" s="42" t="s">
        <v>199</v>
      </c>
      <c r="D114" s="42" t="s">
        <v>176</v>
      </c>
      <c r="E114" s="42" t="s">
        <v>139</v>
      </c>
      <c r="F114" s="42" t="s">
        <v>140</v>
      </c>
      <c r="G114" s="42" t="s">
        <v>141</v>
      </c>
      <c r="H114" s="42" t="s">
        <v>150</v>
      </c>
      <c r="I114" s="42"/>
      <c r="J114" s="45" t="s">
        <v>147</v>
      </c>
      <c r="K114" s="42" t="s">
        <v>190</v>
      </c>
      <c r="L114" s="42" t="s">
        <v>190</v>
      </c>
      <c r="M114" s="44" t="s">
        <v>320</v>
      </c>
    </row>
    <row r="115" spans="1:13" x14ac:dyDescent="0.35">
      <c r="A115" s="42">
        <v>831</v>
      </c>
      <c r="B115" s="42" t="s">
        <v>136</v>
      </c>
      <c r="C115" s="42" t="s">
        <v>199</v>
      </c>
      <c r="D115" s="42" t="s">
        <v>176</v>
      </c>
      <c r="E115" s="42" t="s">
        <v>139</v>
      </c>
      <c r="F115" s="42" t="s">
        <v>140</v>
      </c>
      <c r="G115" s="42" t="s">
        <v>141</v>
      </c>
      <c r="H115" s="42" t="s">
        <v>150</v>
      </c>
      <c r="I115" s="42"/>
      <c r="J115" s="45" t="s">
        <v>147</v>
      </c>
      <c r="K115" s="42" t="s">
        <v>84</v>
      </c>
      <c r="L115" s="42" t="s">
        <v>84</v>
      </c>
      <c r="M115" s="44" t="s">
        <v>321</v>
      </c>
    </row>
    <row r="116" spans="1:13" x14ac:dyDescent="0.35">
      <c r="A116" s="42">
        <v>831</v>
      </c>
      <c r="B116" s="42" t="s">
        <v>136</v>
      </c>
      <c r="C116" s="42" t="s">
        <v>199</v>
      </c>
      <c r="D116" s="42" t="s">
        <v>176</v>
      </c>
      <c r="E116" s="42" t="s">
        <v>139</v>
      </c>
      <c r="F116" s="42" t="s">
        <v>140</v>
      </c>
      <c r="G116" s="42" t="s">
        <v>141</v>
      </c>
      <c r="H116" s="42" t="s">
        <v>156</v>
      </c>
      <c r="I116" s="42"/>
      <c r="J116" s="43" t="s">
        <v>143</v>
      </c>
      <c r="K116" s="42" t="s">
        <v>76</v>
      </c>
      <c r="L116" s="42" t="s">
        <v>322</v>
      </c>
      <c r="M116" s="44" t="s">
        <v>323</v>
      </c>
    </row>
    <row r="117" spans="1:13" x14ac:dyDescent="0.35">
      <c r="A117" s="42">
        <v>831</v>
      </c>
      <c r="B117" s="42" t="s">
        <v>136</v>
      </c>
      <c r="C117" s="42" t="s">
        <v>199</v>
      </c>
      <c r="D117" s="42" t="s">
        <v>176</v>
      </c>
      <c r="E117" s="42" t="s">
        <v>139</v>
      </c>
      <c r="F117" s="42" t="s">
        <v>140</v>
      </c>
      <c r="G117" s="42" t="s">
        <v>141</v>
      </c>
      <c r="H117" s="42" t="s">
        <v>156</v>
      </c>
      <c r="I117" s="42"/>
      <c r="J117" s="43" t="s">
        <v>143</v>
      </c>
      <c r="K117" s="42" t="s">
        <v>84</v>
      </c>
      <c r="L117" s="42" t="s">
        <v>324</v>
      </c>
      <c r="M117" s="44" t="s">
        <v>325</v>
      </c>
    </row>
    <row r="118" spans="1:13" x14ac:dyDescent="0.35">
      <c r="A118" s="42">
        <v>831</v>
      </c>
      <c r="B118" s="42" t="s">
        <v>136</v>
      </c>
      <c r="C118" s="42" t="s">
        <v>199</v>
      </c>
      <c r="D118" s="42" t="s">
        <v>176</v>
      </c>
      <c r="E118" s="42" t="s">
        <v>139</v>
      </c>
      <c r="F118" s="42" t="s">
        <v>140</v>
      </c>
      <c r="G118" s="42" t="s">
        <v>141</v>
      </c>
      <c r="H118" s="42" t="s">
        <v>156</v>
      </c>
      <c r="I118" s="42"/>
      <c r="J118" s="43" t="s">
        <v>143</v>
      </c>
      <c r="K118" s="42" t="s">
        <v>210</v>
      </c>
      <c r="L118" s="42" t="s">
        <v>210</v>
      </c>
      <c r="M118" s="44" t="s">
        <v>326</v>
      </c>
    </row>
    <row r="119" spans="1:13" x14ac:dyDescent="0.35">
      <c r="A119" s="42">
        <v>1077</v>
      </c>
      <c r="B119" s="42" t="s">
        <v>136</v>
      </c>
      <c r="C119" s="42" t="s">
        <v>199</v>
      </c>
      <c r="D119" s="42" t="s">
        <v>159</v>
      </c>
      <c r="E119" s="42" t="s">
        <v>160</v>
      </c>
      <c r="F119" s="42" t="s">
        <v>160</v>
      </c>
      <c r="G119" s="42" t="s">
        <v>141</v>
      </c>
      <c r="H119" s="42" t="s">
        <v>166</v>
      </c>
      <c r="I119" s="42">
        <v>6</v>
      </c>
      <c r="J119" s="43" t="s">
        <v>143</v>
      </c>
      <c r="K119" s="42" t="s">
        <v>196</v>
      </c>
      <c r="L119" s="42" t="s">
        <v>196</v>
      </c>
      <c r="M119" s="44" t="s">
        <v>327</v>
      </c>
    </row>
    <row r="120" spans="1:13" x14ac:dyDescent="0.35">
      <c r="A120" s="42">
        <v>1077</v>
      </c>
      <c r="B120" s="42" t="s">
        <v>136</v>
      </c>
      <c r="C120" s="42" t="s">
        <v>199</v>
      </c>
      <c r="D120" s="42" t="s">
        <v>159</v>
      </c>
      <c r="E120" s="42" t="s">
        <v>160</v>
      </c>
      <c r="F120" s="42" t="s">
        <v>160</v>
      </c>
      <c r="G120" s="42" t="s">
        <v>141</v>
      </c>
      <c r="H120" s="42" t="s">
        <v>146</v>
      </c>
      <c r="I120" s="42">
        <v>9</v>
      </c>
      <c r="J120" s="45" t="s">
        <v>147</v>
      </c>
      <c r="K120" s="42" t="s">
        <v>80</v>
      </c>
      <c r="L120" s="42" t="s">
        <v>80</v>
      </c>
      <c r="M120" s="44" t="s">
        <v>328</v>
      </c>
    </row>
    <row r="121" spans="1:13" x14ac:dyDescent="0.35">
      <c r="A121" s="42">
        <v>1077</v>
      </c>
      <c r="B121" s="42" t="s">
        <v>136</v>
      </c>
      <c r="C121" s="42" t="s">
        <v>199</v>
      </c>
      <c r="D121" s="42" t="s">
        <v>159</v>
      </c>
      <c r="E121" s="42" t="s">
        <v>160</v>
      </c>
      <c r="F121" s="42" t="s">
        <v>160</v>
      </c>
      <c r="G121" s="42" t="s">
        <v>141</v>
      </c>
      <c r="H121" s="42" t="s">
        <v>150</v>
      </c>
      <c r="I121" s="42"/>
      <c r="J121" s="45" t="s">
        <v>147</v>
      </c>
      <c r="K121" s="42" t="s">
        <v>78</v>
      </c>
      <c r="L121" s="42" t="s">
        <v>151</v>
      </c>
      <c r="M121" s="44" t="s">
        <v>329</v>
      </c>
    </row>
    <row r="122" spans="1:13" x14ac:dyDescent="0.35">
      <c r="A122" s="42">
        <v>1077</v>
      </c>
      <c r="B122" s="42" t="s">
        <v>136</v>
      </c>
      <c r="C122" s="42" t="s">
        <v>199</v>
      </c>
      <c r="D122" s="42" t="s">
        <v>159</v>
      </c>
      <c r="E122" s="42" t="s">
        <v>160</v>
      </c>
      <c r="F122" s="42" t="s">
        <v>160</v>
      </c>
      <c r="G122" s="42" t="s">
        <v>141</v>
      </c>
      <c r="H122" s="42" t="s">
        <v>150</v>
      </c>
      <c r="I122" s="42"/>
      <c r="J122" s="45" t="s">
        <v>147</v>
      </c>
      <c r="K122" s="42" t="s">
        <v>80</v>
      </c>
      <c r="L122" s="42" t="s">
        <v>80</v>
      </c>
      <c r="M122" s="44" t="s">
        <v>330</v>
      </c>
    </row>
    <row r="123" spans="1:13" x14ac:dyDescent="0.35">
      <c r="A123" s="42">
        <v>1077</v>
      </c>
      <c r="B123" s="42" t="s">
        <v>136</v>
      </c>
      <c r="C123" s="42" t="s">
        <v>199</v>
      </c>
      <c r="D123" s="42" t="s">
        <v>159</v>
      </c>
      <c r="E123" s="42" t="s">
        <v>160</v>
      </c>
      <c r="F123" s="42" t="s">
        <v>160</v>
      </c>
      <c r="G123" s="42" t="s">
        <v>141</v>
      </c>
      <c r="H123" s="42" t="s">
        <v>150</v>
      </c>
      <c r="I123" s="42"/>
      <c r="J123" s="45" t="s">
        <v>147</v>
      </c>
      <c r="K123" s="42" t="s">
        <v>210</v>
      </c>
      <c r="L123" s="42" t="s">
        <v>210</v>
      </c>
      <c r="M123" s="44" t="s">
        <v>331</v>
      </c>
    </row>
    <row r="124" spans="1:13" x14ac:dyDescent="0.35">
      <c r="A124" s="42">
        <v>1077</v>
      </c>
      <c r="B124" s="42" t="s">
        <v>136</v>
      </c>
      <c r="C124" s="42" t="s">
        <v>199</v>
      </c>
      <c r="D124" s="42" t="s">
        <v>159</v>
      </c>
      <c r="E124" s="42" t="s">
        <v>160</v>
      </c>
      <c r="F124" s="42" t="s">
        <v>160</v>
      </c>
      <c r="G124" s="42" t="s">
        <v>141</v>
      </c>
      <c r="H124" s="42" t="s">
        <v>156</v>
      </c>
      <c r="I124" s="42"/>
      <c r="J124" s="43" t="s">
        <v>143</v>
      </c>
      <c r="K124" s="42" t="s">
        <v>196</v>
      </c>
      <c r="L124" s="42" t="s">
        <v>196</v>
      </c>
      <c r="M124" s="44" t="s">
        <v>332</v>
      </c>
    </row>
    <row r="125" spans="1:13" x14ac:dyDescent="0.35">
      <c r="A125" s="42">
        <v>1077</v>
      </c>
      <c r="B125" s="42" t="s">
        <v>136</v>
      </c>
      <c r="C125" s="42" t="s">
        <v>199</v>
      </c>
      <c r="D125" s="42" t="s">
        <v>159</v>
      </c>
      <c r="E125" s="42" t="s">
        <v>160</v>
      </c>
      <c r="F125" s="42" t="s">
        <v>160</v>
      </c>
      <c r="G125" s="42" t="s">
        <v>141</v>
      </c>
      <c r="H125" s="42" t="s">
        <v>156</v>
      </c>
      <c r="I125" s="42"/>
      <c r="J125" s="43" t="s">
        <v>143</v>
      </c>
      <c r="K125" s="42" t="s">
        <v>333</v>
      </c>
      <c r="L125" s="42" t="s">
        <v>333</v>
      </c>
      <c r="M125" s="44" t="s">
        <v>334</v>
      </c>
    </row>
    <row r="126" spans="1:13" ht="25" x14ac:dyDescent="0.35">
      <c r="A126" s="42">
        <v>1132</v>
      </c>
      <c r="B126" s="42" t="s">
        <v>136</v>
      </c>
      <c r="C126" s="42" t="s">
        <v>137</v>
      </c>
      <c r="D126" s="42" t="s">
        <v>159</v>
      </c>
      <c r="E126" s="42" t="s">
        <v>160</v>
      </c>
      <c r="F126" s="42" t="s">
        <v>160</v>
      </c>
      <c r="G126" s="42" t="s">
        <v>141</v>
      </c>
      <c r="H126" s="42" t="s">
        <v>146</v>
      </c>
      <c r="I126" s="42">
        <v>9</v>
      </c>
      <c r="J126" s="45" t="s">
        <v>147</v>
      </c>
      <c r="K126" s="42" t="s">
        <v>78</v>
      </c>
      <c r="L126" s="42" t="s">
        <v>335</v>
      </c>
      <c r="M126" s="44" t="s">
        <v>336</v>
      </c>
    </row>
    <row r="127" spans="1:13" x14ac:dyDescent="0.35">
      <c r="A127" s="42">
        <v>1132</v>
      </c>
      <c r="B127" s="42" t="s">
        <v>136</v>
      </c>
      <c r="C127" s="42" t="s">
        <v>137</v>
      </c>
      <c r="D127" s="42" t="s">
        <v>159</v>
      </c>
      <c r="E127" s="42" t="s">
        <v>160</v>
      </c>
      <c r="F127" s="42" t="s">
        <v>160</v>
      </c>
      <c r="G127" s="42" t="s">
        <v>141</v>
      </c>
      <c r="H127" s="42" t="s">
        <v>150</v>
      </c>
      <c r="I127" s="42"/>
      <c r="J127" s="45" t="s">
        <v>147</v>
      </c>
      <c r="K127" s="42" t="s">
        <v>181</v>
      </c>
      <c r="L127" s="42" t="s">
        <v>337</v>
      </c>
      <c r="M127" s="44" t="s">
        <v>338</v>
      </c>
    </row>
    <row r="128" spans="1:13" x14ac:dyDescent="0.35">
      <c r="A128" s="42">
        <v>1132</v>
      </c>
      <c r="B128" s="42" t="s">
        <v>136</v>
      </c>
      <c r="C128" s="42" t="s">
        <v>137</v>
      </c>
      <c r="D128" s="42" t="s">
        <v>159</v>
      </c>
      <c r="E128" s="42" t="s">
        <v>160</v>
      </c>
      <c r="F128" s="42" t="s">
        <v>160</v>
      </c>
      <c r="G128" s="42" t="s">
        <v>141</v>
      </c>
      <c r="H128" s="42" t="s">
        <v>150</v>
      </c>
      <c r="I128" s="42"/>
      <c r="J128" s="45" t="s">
        <v>147</v>
      </c>
      <c r="K128" s="42" t="s">
        <v>78</v>
      </c>
      <c r="L128" s="42" t="s">
        <v>78</v>
      </c>
      <c r="M128" s="44" t="s">
        <v>339</v>
      </c>
    </row>
    <row r="129" spans="1:13" ht="25" x14ac:dyDescent="0.35">
      <c r="A129" s="42">
        <v>1132</v>
      </c>
      <c r="B129" s="42" t="s">
        <v>136</v>
      </c>
      <c r="C129" s="42" t="s">
        <v>137</v>
      </c>
      <c r="D129" s="42" t="s">
        <v>159</v>
      </c>
      <c r="E129" s="42" t="s">
        <v>160</v>
      </c>
      <c r="F129" s="42" t="s">
        <v>160</v>
      </c>
      <c r="G129" s="42" t="s">
        <v>141</v>
      </c>
      <c r="H129" s="42" t="s">
        <v>150</v>
      </c>
      <c r="I129" s="42"/>
      <c r="J129" s="45" t="s">
        <v>147</v>
      </c>
      <c r="K129" s="42" t="s">
        <v>78</v>
      </c>
      <c r="L129" s="42" t="s">
        <v>78</v>
      </c>
      <c r="M129" s="44" t="s">
        <v>340</v>
      </c>
    </row>
    <row r="130" spans="1:13" x14ac:dyDescent="0.35">
      <c r="A130" s="42">
        <v>1132</v>
      </c>
      <c r="B130" s="42" t="s">
        <v>136</v>
      </c>
      <c r="C130" s="42" t="s">
        <v>137</v>
      </c>
      <c r="D130" s="42" t="s">
        <v>159</v>
      </c>
      <c r="E130" s="42" t="s">
        <v>160</v>
      </c>
      <c r="F130" s="42" t="s">
        <v>160</v>
      </c>
      <c r="G130" s="42" t="s">
        <v>141</v>
      </c>
      <c r="H130" s="42" t="s">
        <v>156</v>
      </c>
      <c r="I130" s="42"/>
      <c r="J130" s="43" t="s">
        <v>143</v>
      </c>
      <c r="K130" s="42" t="s">
        <v>187</v>
      </c>
      <c r="L130" s="42" t="s">
        <v>310</v>
      </c>
      <c r="M130" s="44" t="s">
        <v>341</v>
      </c>
    </row>
    <row r="131" spans="1:13" x14ac:dyDescent="0.35">
      <c r="A131" s="42">
        <v>1132</v>
      </c>
      <c r="B131" s="42" t="s">
        <v>136</v>
      </c>
      <c r="C131" s="42" t="s">
        <v>137</v>
      </c>
      <c r="D131" s="42" t="s">
        <v>159</v>
      </c>
      <c r="E131" s="42" t="s">
        <v>160</v>
      </c>
      <c r="F131" s="42" t="s">
        <v>160</v>
      </c>
      <c r="G131" s="42" t="s">
        <v>141</v>
      </c>
      <c r="H131" s="42" t="s">
        <v>156</v>
      </c>
      <c r="I131" s="42"/>
      <c r="J131" s="43" t="s">
        <v>143</v>
      </c>
      <c r="K131" s="42" t="s">
        <v>144</v>
      </c>
      <c r="L131" s="42" t="s">
        <v>144</v>
      </c>
      <c r="M131" s="44" t="s">
        <v>342</v>
      </c>
    </row>
    <row r="132" spans="1:13" x14ac:dyDescent="0.35">
      <c r="A132" s="42">
        <v>1132</v>
      </c>
      <c r="B132" s="42" t="s">
        <v>136</v>
      </c>
      <c r="C132" s="42" t="s">
        <v>137</v>
      </c>
      <c r="D132" s="42" t="s">
        <v>159</v>
      </c>
      <c r="E132" s="42" t="s">
        <v>160</v>
      </c>
      <c r="F132" s="42" t="s">
        <v>160</v>
      </c>
      <c r="G132" s="42" t="s">
        <v>141</v>
      </c>
      <c r="H132" s="42" t="s">
        <v>156</v>
      </c>
      <c r="I132" s="42"/>
      <c r="J132" s="43" t="s">
        <v>143</v>
      </c>
      <c r="K132" s="42" t="s">
        <v>262</v>
      </c>
      <c r="L132" s="42" t="s">
        <v>263</v>
      </c>
      <c r="M132" s="44" t="s">
        <v>343</v>
      </c>
    </row>
    <row r="133" spans="1:13" ht="37.5" x14ac:dyDescent="0.35">
      <c r="A133" s="42">
        <v>1184</v>
      </c>
      <c r="B133" s="42" t="s">
        <v>175</v>
      </c>
      <c r="C133" s="42" t="s">
        <v>199</v>
      </c>
      <c r="D133" s="42" t="s">
        <v>176</v>
      </c>
      <c r="E133" s="42" t="s">
        <v>160</v>
      </c>
      <c r="F133" s="42" t="s">
        <v>160</v>
      </c>
      <c r="G133" s="42" t="s">
        <v>141</v>
      </c>
      <c r="H133" s="42" t="s">
        <v>142</v>
      </c>
      <c r="I133" s="42">
        <v>6</v>
      </c>
      <c r="J133" s="43" t="s">
        <v>143</v>
      </c>
      <c r="K133" s="42" t="s">
        <v>144</v>
      </c>
      <c r="L133" s="42" t="s">
        <v>344</v>
      </c>
      <c r="M133" s="44" t="s">
        <v>345</v>
      </c>
    </row>
    <row r="134" spans="1:13" x14ac:dyDescent="0.35">
      <c r="A134" s="42">
        <v>1184</v>
      </c>
      <c r="B134" s="42" t="s">
        <v>175</v>
      </c>
      <c r="C134" s="42" t="s">
        <v>199</v>
      </c>
      <c r="D134" s="42" t="s">
        <v>176</v>
      </c>
      <c r="E134" s="42" t="s">
        <v>160</v>
      </c>
      <c r="F134" s="42" t="s">
        <v>160</v>
      </c>
      <c r="G134" s="42" t="s">
        <v>141</v>
      </c>
      <c r="H134" s="42" t="s">
        <v>163</v>
      </c>
      <c r="I134" s="42"/>
      <c r="J134" s="43" t="s">
        <v>143</v>
      </c>
      <c r="K134" s="42" t="s">
        <v>144</v>
      </c>
      <c r="L134" s="42" t="s">
        <v>346</v>
      </c>
      <c r="M134" s="44" t="s">
        <v>347</v>
      </c>
    </row>
    <row r="135" spans="1:13" ht="37.5" x14ac:dyDescent="0.35">
      <c r="A135" s="42">
        <v>1184</v>
      </c>
      <c r="B135" s="42" t="s">
        <v>175</v>
      </c>
      <c r="C135" s="42" t="s">
        <v>199</v>
      </c>
      <c r="D135" s="42" t="s">
        <v>176</v>
      </c>
      <c r="E135" s="42" t="s">
        <v>160</v>
      </c>
      <c r="F135" s="42" t="s">
        <v>160</v>
      </c>
      <c r="G135" s="42" t="s">
        <v>141</v>
      </c>
      <c r="H135" s="42" t="s">
        <v>166</v>
      </c>
      <c r="I135" s="42">
        <v>4</v>
      </c>
      <c r="J135" s="43" t="s">
        <v>143</v>
      </c>
      <c r="K135" s="42" t="s">
        <v>50</v>
      </c>
      <c r="L135" s="42" t="s">
        <v>348</v>
      </c>
      <c r="M135" s="44" t="s">
        <v>349</v>
      </c>
    </row>
    <row r="136" spans="1:13" ht="25" x14ac:dyDescent="0.35">
      <c r="A136" s="42">
        <v>1184</v>
      </c>
      <c r="B136" s="42" t="s">
        <v>175</v>
      </c>
      <c r="C136" s="42" t="s">
        <v>199</v>
      </c>
      <c r="D136" s="42" t="s">
        <v>176</v>
      </c>
      <c r="E136" s="42" t="s">
        <v>160</v>
      </c>
      <c r="F136" s="42" t="s">
        <v>160</v>
      </c>
      <c r="G136" s="42" t="s">
        <v>141</v>
      </c>
      <c r="H136" s="42" t="s">
        <v>146</v>
      </c>
      <c r="I136" s="42">
        <v>9</v>
      </c>
      <c r="J136" s="45" t="s">
        <v>147</v>
      </c>
      <c r="K136" s="42" t="s">
        <v>144</v>
      </c>
      <c r="L136" s="42" t="s">
        <v>350</v>
      </c>
      <c r="M136" s="44" t="s">
        <v>351</v>
      </c>
    </row>
    <row r="137" spans="1:13" x14ac:dyDescent="0.35">
      <c r="A137" s="42">
        <v>1184</v>
      </c>
      <c r="B137" s="42" t="s">
        <v>175</v>
      </c>
      <c r="C137" s="42" t="s">
        <v>199</v>
      </c>
      <c r="D137" s="42" t="s">
        <v>176</v>
      </c>
      <c r="E137" s="42" t="s">
        <v>160</v>
      </c>
      <c r="F137" s="42" t="s">
        <v>160</v>
      </c>
      <c r="G137" s="42" t="s">
        <v>141</v>
      </c>
      <c r="H137" s="42" t="s">
        <v>150</v>
      </c>
      <c r="I137" s="42"/>
      <c r="J137" s="45" t="s">
        <v>147</v>
      </c>
      <c r="K137" s="42" t="s">
        <v>78</v>
      </c>
      <c r="L137" s="42" t="s">
        <v>78</v>
      </c>
      <c r="M137" s="44" t="s">
        <v>352</v>
      </c>
    </row>
    <row r="138" spans="1:13" x14ac:dyDescent="0.35">
      <c r="A138" s="42">
        <v>1184</v>
      </c>
      <c r="B138" s="42" t="s">
        <v>175</v>
      </c>
      <c r="C138" s="42" t="s">
        <v>199</v>
      </c>
      <c r="D138" s="42" t="s">
        <v>176</v>
      </c>
      <c r="E138" s="42" t="s">
        <v>160</v>
      </c>
      <c r="F138" s="42" t="s">
        <v>160</v>
      </c>
      <c r="G138" s="42" t="s">
        <v>141</v>
      </c>
      <c r="H138" s="42" t="s">
        <v>150</v>
      </c>
      <c r="I138" s="42"/>
      <c r="J138" s="45" t="s">
        <v>147</v>
      </c>
      <c r="K138" s="42" t="s">
        <v>268</v>
      </c>
      <c r="L138" s="42" t="s">
        <v>268</v>
      </c>
      <c r="M138" s="44" t="s">
        <v>353</v>
      </c>
    </row>
    <row r="139" spans="1:13" x14ac:dyDescent="0.35">
      <c r="A139" s="42">
        <v>1184</v>
      </c>
      <c r="B139" s="42" t="s">
        <v>175</v>
      </c>
      <c r="C139" s="42" t="s">
        <v>199</v>
      </c>
      <c r="D139" s="42" t="s">
        <v>176</v>
      </c>
      <c r="E139" s="42" t="s">
        <v>160</v>
      </c>
      <c r="F139" s="42" t="s">
        <v>160</v>
      </c>
      <c r="G139" s="42" t="s">
        <v>141</v>
      </c>
      <c r="H139" s="42" t="s">
        <v>156</v>
      </c>
      <c r="I139" s="42"/>
      <c r="J139" s="43" t="s">
        <v>143</v>
      </c>
      <c r="K139" s="42" t="s">
        <v>144</v>
      </c>
      <c r="L139" s="42" t="s">
        <v>144</v>
      </c>
      <c r="M139" s="44" t="s">
        <v>273</v>
      </c>
    </row>
    <row r="140" spans="1:13" x14ac:dyDescent="0.35">
      <c r="A140" s="42">
        <v>1184</v>
      </c>
      <c r="B140" s="42" t="s">
        <v>175</v>
      </c>
      <c r="C140" s="42" t="s">
        <v>199</v>
      </c>
      <c r="D140" s="42" t="s">
        <v>176</v>
      </c>
      <c r="E140" s="42" t="s">
        <v>160</v>
      </c>
      <c r="F140" s="42" t="s">
        <v>160</v>
      </c>
      <c r="G140" s="42" t="s">
        <v>141</v>
      </c>
      <c r="H140" s="42" t="s">
        <v>156</v>
      </c>
      <c r="I140" s="42"/>
      <c r="J140" s="43" t="s">
        <v>143</v>
      </c>
      <c r="K140" s="42" t="s">
        <v>193</v>
      </c>
      <c r="L140" s="42" t="s">
        <v>354</v>
      </c>
      <c r="M140" s="44" t="s">
        <v>355</v>
      </c>
    </row>
    <row r="141" spans="1:13" ht="25" x14ac:dyDescent="0.35">
      <c r="A141" s="42">
        <v>842</v>
      </c>
      <c r="B141" s="42" t="s">
        <v>136</v>
      </c>
      <c r="C141" s="42" t="s">
        <v>137</v>
      </c>
      <c r="D141" s="42" t="s">
        <v>159</v>
      </c>
      <c r="E141" s="42" t="s">
        <v>274</v>
      </c>
      <c r="F141" s="42" t="s">
        <v>140</v>
      </c>
      <c r="G141" s="42" t="s">
        <v>141</v>
      </c>
      <c r="H141" s="42" t="s">
        <v>166</v>
      </c>
      <c r="I141" s="42">
        <v>5</v>
      </c>
      <c r="J141" s="43" t="s">
        <v>143</v>
      </c>
      <c r="K141" s="42" t="s">
        <v>50</v>
      </c>
      <c r="L141" s="42" t="s">
        <v>356</v>
      </c>
      <c r="M141" s="44" t="s">
        <v>357</v>
      </c>
    </row>
    <row r="142" spans="1:13" x14ac:dyDescent="0.35">
      <c r="A142" s="42">
        <v>842</v>
      </c>
      <c r="B142" s="42" t="s">
        <v>136</v>
      </c>
      <c r="C142" s="42" t="s">
        <v>137</v>
      </c>
      <c r="D142" s="42" t="s">
        <v>159</v>
      </c>
      <c r="E142" s="42" t="s">
        <v>274</v>
      </c>
      <c r="F142" s="42" t="s">
        <v>140</v>
      </c>
      <c r="G142" s="42" t="s">
        <v>141</v>
      </c>
      <c r="H142" s="42" t="s">
        <v>146</v>
      </c>
      <c r="I142" s="42">
        <v>8</v>
      </c>
      <c r="J142" s="46" t="s">
        <v>222</v>
      </c>
      <c r="K142" s="42" t="s">
        <v>210</v>
      </c>
      <c r="L142" s="42" t="s">
        <v>210</v>
      </c>
      <c r="M142" s="44" t="s">
        <v>358</v>
      </c>
    </row>
    <row r="143" spans="1:13" x14ac:dyDescent="0.35">
      <c r="A143" s="42">
        <v>842</v>
      </c>
      <c r="B143" s="42" t="s">
        <v>136</v>
      </c>
      <c r="C143" s="42" t="s">
        <v>137</v>
      </c>
      <c r="D143" s="42" t="s">
        <v>159</v>
      </c>
      <c r="E143" s="42" t="s">
        <v>274</v>
      </c>
      <c r="F143" s="42" t="s">
        <v>140</v>
      </c>
      <c r="G143" s="42" t="s">
        <v>141</v>
      </c>
      <c r="H143" s="42" t="s">
        <v>150</v>
      </c>
      <c r="I143" s="42"/>
      <c r="J143" s="45" t="s">
        <v>147</v>
      </c>
      <c r="K143" s="42" t="s">
        <v>144</v>
      </c>
      <c r="L143" s="42" t="s">
        <v>144</v>
      </c>
      <c r="M143" s="44" t="s">
        <v>359</v>
      </c>
    </row>
    <row r="144" spans="1:13" x14ac:dyDescent="0.35">
      <c r="A144" s="42">
        <v>842</v>
      </c>
      <c r="B144" s="42" t="s">
        <v>136</v>
      </c>
      <c r="C144" s="42" t="s">
        <v>137</v>
      </c>
      <c r="D144" s="42" t="s">
        <v>159</v>
      </c>
      <c r="E144" s="42" t="s">
        <v>274</v>
      </c>
      <c r="F144" s="42" t="s">
        <v>140</v>
      </c>
      <c r="G144" s="42" t="s">
        <v>141</v>
      </c>
      <c r="H144" s="42" t="s">
        <v>150</v>
      </c>
      <c r="I144" s="42"/>
      <c r="J144" s="45" t="s">
        <v>147</v>
      </c>
      <c r="K144" s="42" t="s">
        <v>144</v>
      </c>
      <c r="L144" s="42" t="s">
        <v>144</v>
      </c>
      <c r="M144" s="44" t="s">
        <v>360</v>
      </c>
    </row>
    <row r="145" spans="1:13" x14ac:dyDescent="0.35">
      <c r="A145" s="42">
        <v>842</v>
      </c>
      <c r="B145" s="42" t="s">
        <v>136</v>
      </c>
      <c r="C145" s="42" t="s">
        <v>137</v>
      </c>
      <c r="D145" s="42" t="s">
        <v>159</v>
      </c>
      <c r="E145" s="42" t="s">
        <v>274</v>
      </c>
      <c r="F145" s="42" t="s">
        <v>140</v>
      </c>
      <c r="G145" s="42" t="s">
        <v>141</v>
      </c>
      <c r="H145" s="42" t="s">
        <v>150</v>
      </c>
      <c r="I145" s="42"/>
      <c r="J145" s="45" t="s">
        <v>147</v>
      </c>
      <c r="K145" s="42" t="s">
        <v>184</v>
      </c>
      <c r="L145" s="42" t="s">
        <v>208</v>
      </c>
      <c r="M145" s="44" t="s">
        <v>361</v>
      </c>
    </row>
    <row r="146" spans="1:13" x14ac:dyDescent="0.35">
      <c r="A146" s="42">
        <v>842</v>
      </c>
      <c r="B146" s="42" t="s">
        <v>136</v>
      </c>
      <c r="C146" s="42" t="s">
        <v>137</v>
      </c>
      <c r="D146" s="42" t="s">
        <v>159</v>
      </c>
      <c r="E146" s="42" t="s">
        <v>274</v>
      </c>
      <c r="F146" s="42" t="s">
        <v>140</v>
      </c>
      <c r="G146" s="42" t="s">
        <v>141</v>
      </c>
      <c r="H146" s="42" t="s">
        <v>156</v>
      </c>
      <c r="I146" s="42"/>
      <c r="J146" s="43" t="s">
        <v>143</v>
      </c>
      <c r="K146" s="42" t="s">
        <v>50</v>
      </c>
      <c r="L146" s="42" t="s">
        <v>50</v>
      </c>
      <c r="M146" s="44" t="s">
        <v>362</v>
      </c>
    </row>
    <row r="147" spans="1:13" x14ac:dyDescent="0.35">
      <c r="A147" s="42">
        <v>842</v>
      </c>
      <c r="B147" s="42" t="s">
        <v>136</v>
      </c>
      <c r="C147" s="42" t="s">
        <v>137</v>
      </c>
      <c r="D147" s="42" t="s">
        <v>159</v>
      </c>
      <c r="E147" s="42" t="s">
        <v>274</v>
      </c>
      <c r="F147" s="42" t="s">
        <v>140</v>
      </c>
      <c r="G147" s="42" t="s">
        <v>141</v>
      </c>
      <c r="H147" s="42" t="s">
        <v>156</v>
      </c>
      <c r="I147" s="42"/>
      <c r="J147" s="43" t="s">
        <v>143</v>
      </c>
      <c r="K147" s="42" t="s">
        <v>181</v>
      </c>
      <c r="L147" s="42" t="s">
        <v>181</v>
      </c>
      <c r="M147" s="44" t="s">
        <v>363</v>
      </c>
    </row>
    <row r="148" spans="1:13" x14ac:dyDescent="0.35">
      <c r="A148" s="42">
        <v>842</v>
      </c>
      <c r="B148" s="42" t="s">
        <v>136</v>
      </c>
      <c r="C148" s="42" t="s">
        <v>137</v>
      </c>
      <c r="D148" s="42" t="s">
        <v>159</v>
      </c>
      <c r="E148" s="42" t="s">
        <v>274</v>
      </c>
      <c r="F148" s="42" t="s">
        <v>140</v>
      </c>
      <c r="G148" s="42" t="s">
        <v>141</v>
      </c>
      <c r="H148" s="42" t="s">
        <v>156</v>
      </c>
      <c r="I148" s="42"/>
      <c r="J148" s="43" t="s">
        <v>143</v>
      </c>
      <c r="K148" s="42" t="s">
        <v>187</v>
      </c>
      <c r="L148" s="42" t="s">
        <v>364</v>
      </c>
      <c r="M148" s="44" t="s">
        <v>365</v>
      </c>
    </row>
    <row r="149" spans="1:13" x14ac:dyDescent="0.35">
      <c r="A149" s="42">
        <v>842</v>
      </c>
      <c r="B149" s="42" t="s">
        <v>136</v>
      </c>
      <c r="C149" s="42" t="s">
        <v>137</v>
      </c>
      <c r="D149" s="42" t="s">
        <v>159</v>
      </c>
      <c r="E149" s="42" t="s">
        <v>274</v>
      </c>
      <c r="F149" s="42" t="s">
        <v>140</v>
      </c>
      <c r="G149" s="42" t="s">
        <v>141</v>
      </c>
      <c r="H149" s="42" t="s">
        <v>156</v>
      </c>
      <c r="I149" s="42"/>
      <c r="J149" s="43" t="s">
        <v>143</v>
      </c>
      <c r="K149" s="42" t="s">
        <v>196</v>
      </c>
      <c r="L149" s="42" t="s">
        <v>252</v>
      </c>
      <c r="M149" s="44" t="s">
        <v>366</v>
      </c>
    </row>
    <row r="150" spans="1:13" x14ac:dyDescent="0.35">
      <c r="A150" s="42">
        <v>842</v>
      </c>
      <c r="B150" s="42" t="s">
        <v>136</v>
      </c>
      <c r="C150" s="42" t="s">
        <v>137</v>
      </c>
      <c r="D150" s="42" t="s">
        <v>159</v>
      </c>
      <c r="E150" s="42" t="s">
        <v>274</v>
      </c>
      <c r="F150" s="42" t="s">
        <v>140</v>
      </c>
      <c r="G150" s="42" t="s">
        <v>141</v>
      </c>
      <c r="H150" s="42" t="s">
        <v>156</v>
      </c>
      <c r="I150" s="42"/>
      <c r="J150" s="43" t="s">
        <v>143</v>
      </c>
      <c r="K150" s="42" t="s">
        <v>196</v>
      </c>
      <c r="L150" s="42" t="s">
        <v>196</v>
      </c>
      <c r="M150" s="44" t="s">
        <v>367</v>
      </c>
    </row>
    <row r="151" spans="1:13" x14ac:dyDescent="0.35">
      <c r="A151" s="42">
        <v>848</v>
      </c>
      <c r="B151" s="42" t="s">
        <v>136</v>
      </c>
      <c r="C151" s="42" t="s">
        <v>137</v>
      </c>
      <c r="D151" s="42" t="s">
        <v>138</v>
      </c>
      <c r="E151" s="42" t="s">
        <v>139</v>
      </c>
      <c r="F151" s="42" t="s">
        <v>140</v>
      </c>
      <c r="G151" s="42" t="s">
        <v>141</v>
      </c>
      <c r="H151" s="42" t="s">
        <v>166</v>
      </c>
      <c r="I151" s="42">
        <v>5</v>
      </c>
      <c r="J151" s="43" t="s">
        <v>143</v>
      </c>
      <c r="K151" s="42" t="s">
        <v>50</v>
      </c>
      <c r="L151" s="42" t="s">
        <v>368</v>
      </c>
      <c r="M151" s="44" t="s">
        <v>369</v>
      </c>
    </row>
    <row r="152" spans="1:13" x14ac:dyDescent="0.35">
      <c r="A152" s="42">
        <v>848</v>
      </c>
      <c r="B152" s="42" t="s">
        <v>136</v>
      </c>
      <c r="C152" s="42" t="s">
        <v>137</v>
      </c>
      <c r="D152" s="42" t="s">
        <v>138</v>
      </c>
      <c r="E152" s="42" t="s">
        <v>139</v>
      </c>
      <c r="F152" s="42" t="s">
        <v>140</v>
      </c>
      <c r="G152" s="42" t="s">
        <v>141</v>
      </c>
      <c r="H152" s="42" t="s">
        <v>146</v>
      </c>
      <c r="I152" s="42">
        <v>8</v>
      </c>
      <c r="J152" s="46" t="s">
        <v>222</v>
      </c>
      <c r="K152" s="42" t="s">
        <v>76</v>
      </c>
      <c r="L152" s="42" t="s">
        <v>76</v>
      </c>
      <c r="M152" s="44" t="s">
        <v>370</v>
      </c>
    </row>
    <row r="153" spans="1:13" x14ac:dyDescent="0.35">
      <c r="A153" s="42">
        <v>848</v>
      </c>
      <c r="B153" s="42" t="s">
        <v>136</v>
      </c>
      <c r="C153" s="42" t="s">
        <v>137</v>
      </c>
      <c r="D153" s="42" t="s">
        <v>138</v>
      </c>
      <c r="E153" s="42" t="s">
        <v>139</v>
      </c>
      <c r="F153" s="42" t="s">
        <v>140</v>
      </c>
      <c r="G153" s="42" t="s">
        <v>141</v>
      </c>
      <c r="H153" s="42" t="s">
        <v>150</v>
      </c>
      <c r="I153" s="42"/>
      <c r="J153" s="45" t="s">
        <v>147</v>
      </c>
      <c r="K153" s="42" t="s">
        <v>76</v>
      </c>
      <c r="L153" s="42" t="s">
        <v>76</v>
      </c>
      <c r="M153" s="44" t="s">
        <v>371</v>
      </c>
    </row>
    <row r="154" spans="1:13" x14ac:dyDescent="0.35">
      <c r="A154" s="42">
        <v>848</v>
      </c>
      <c r="B154" s="42" t="s">
        <v>136</v>
      </c>
      <c r="C154" s="42" t="s">
        <v>137</v>
      </c>
      <c r="D154" s="42" t="s">
        <v>138</v>
      </c>
      <c r="E154" s="42" t="s">
        <v>139</v>
      </c>
      <c r="F154" s="42" t="s">
        <v>140</v>
      </c>
      <c r="G154" s="42" t="s">
        <v>141</v>
      </c>
      <c r="H154" s="42" t="s">
        <v>150</v>
      </c>
      <c r="I154" s="42"/>
      <c r="J154" s="45" t="s">
        <v>147</v>
      </c>
      <c r="K154" s="42" t="s">
        <v>268</v>
      </c>
      <c r="L154" s="42" t="s">
        <v>268</v>
      </c>
      <c r="M154" s="44" t="s">
        <v>372</v>
      </c>
    </row>
    <row r="155" spans="1:13" x14ac:dyDescent="0.35">
      <c r="A155" s="42">
        <v>848</v>
      </c>
      <c r="B155" s="42" t="s">
        <v>136</v>
      </c>
      <c r="C155" s="42" t="s">
        <v>137</v>
      </c>
      <c r="D155" s="42" t="s">
        <v>138</v>
      </c>
      <c r="E155" s="42" t="s">
        <v>139</v>
      </c>
      <c r="F155" s="42" t="s">
        <v>140</v>
      </c>
      <c r="G155" s="42" t="s">
        <v>141</v>
      </c>
      <c r="H155" s="42" t="s">
        <v>150</v>
      </c>
      <c r="I155" s="42"/>
      <c r="J155" s="45" t="s">
        <v>147</v>
      </c>
      <c r="K155" s="42" t="s">
        <v>190</v>
      </c>
      <c r="L155" s="42" t="s">
        <v>190</v>
      </c>
      <c r="M155" s="44" t="s">
        <v>373</v>
      </c>
    </row>
    <row r="156" spans="1:13" x14ac:dyDescent="0.35">
      <c r="A156" s="42">
        <v>848</v>
      </c>
      <c r="B156" s="42" t="s">
        <v>136</v>
      </c>
      <c r="C156" s="42" t="s">
        <v>137</v>
      </c>
      <c r="D156" s="42" t="s">
        <v>138</v>
      </c>
      <c r="E156" s="42" t="s">
        <v>139</v>
      </c>
      <c r="F156" s="42" t="s">
        <v>140</v>
      </c>
      <c r="G156" s="42" t="s">
        <v>141</v>
      </c>
      <c r="H156" s="42" t="s">
        <v>156</v>
      </c>
      <c r="I156" s="42"/>
      <c r="J156" s="43" t="s">
        <v>143</v>
      </c>
      <c r="K156" s="42" t="s">
        <v>210</v>
      </c>
      <c r="L156" s="42" t="s">
        <v>210</v>
      </c>
      <c r="M156" s="44" t="s">
        <v>374</v>
      </c>
    </row>
    <row r="157" spans="1:13" x14ac:dyDescent="0.35">
      <c r="A157" s="42">
        <v>848</v>
      </c>
      <c r="B157" s="42" t="s">
        <v>136</v>
      </c>
      <c r="C157" s="42" t="s">
        <v>137</v>
      </c>
      <c r="D157" s="42" t="s">
        <v>138</v>
      </c>
      <c r="E157" s="42" t="s">
        <v>139</v>
      </c>
      <c r="F157" s="42" t="s">
        <v>140</v>
      </c>
      <c r="G157" s="42" t="s">
        <v>141</v>
      </c>
      <c r="H157" s="42" t="s">
        <v>156</v>
      </c>
      <c r="I157" s="42"/>
      <c r="J157" s="43" t="s">
        <v>143</v>
      </c>
      <c r="K157" s="42" t="s">
        <v>144</v>
      </c>
      <c r="L157" s="42" t="s">
        <v>144</v>
      </c>
      <c r="M157" s="44" t="s">
        <v>375</v>
      </c>
    </row>
    <row r="158" spans="1:13" x14ac:dyDescent="0.35">
      <c r="A158" s="42">
        <v>848</v>
      </c>
      <c r="B158" s="42" t="s">
        <v>136</v>
      </c>
      <c r="C158" s="42" t="s">
        <v>137</v>
      </c>
      <c r="D158" s="42" t="s">
        <v>138</v>
      </c>
      <c r="E158" s="42" t="s">
        <v>139</v>
      </c>
      <c r="F158" s="42" t="s">
        <v>140</v>
      </c>
      <c r="G158" s="42" t="s">
        <v>141</v>
      </c>
      <c r="H158" s="42" t="s">
        <v>156</v>
      </c>
      <c r="I158" s="42"/>
      <c r="J158" s="43" t="s">
        <v>143</v>
      </c>
      <c r="K158" s="42" t="s">
        <v>82</v>
      </c>
      <c r="L158" s="42" t="s">
        <v>376</v>
      </c>
      <c r="M158" s="44" t="s">
        <v>377</v>
      </c>
    </row>
    <row r="159" spans="1:13" x14ac:dyDescent="0.35">
      <c r="A159" s="42">
        <v>1256</v>
      </c>
      <c r="B159" s="42" t="s">
        <v>136</v>
      </c>
      <c r="C159" s="42" t="s">
        <v>137</v>
      </c>
      <c r="D159" s="42" t="s">
        <v>159</v>
      </c>
      <c r="E159" s="42" t="s">
        <v>160</v>
      </c>
      <c r="F159" s="42" t="s">
        <v>160</v>
      </c>
      <c r="G159" s="42" t="s">
        <v>141</v>
      </c>
      <c r="H159" s="42" t="s">
        <v>163</v>
      </c>
      <c r="I159" s="42"/>
      <c r="J159" s="46" t="s">
        <v>222</v>
      </c>
      <c r="K159" s="42" t="s">
        <v>144</v>
      </c>
      <c r="L159" s="42" t="s">
        <v>144</v>
      </c>
      <c r="M159" s="44" t="s">
        <v>378</v>
      </c>
    </row>
    <row r="160" spans="1:13" ht="25" x14ac:dyDescent="0.35">
      <c r="A160" s="42">
        <v>1256</v>
      </c>
      <c r="B160" s="42" t="s">
        <v>136</v>
      </c>
      <c r="C160" s="42" t="s">
        <v>137</v>
      </c>
      <c r="D160" s="42" t="s">
        <v>159</v>
      </c>
      <c r="E160" s="42" t="s">
        <v>160</v>
      </c>
      <c r="F160" s="42" t="s">
        <v>160</v>
      </c>
      <c r="G160" s="42" t="s">
        <v>141</v>
      </c>
      <c r="H160" s="42" t="s">
        <v>146</v>
      </c>
      <c r="I160" s="42">
        <v>9</v>
      </c>
      <c r="J160" s="45" t="s">
        <v>147</v>
      </c>
      <c r="K160" s="42" t="s">
        <v>196</v>
      </c>
      <c r="L160" s="42" t="s">
        <v>379</v>
      </c>
      <c r="M160" s="44" t="s">
        <v>380</v>
      </c>
    </row>
    <row r="161" spans="1:13" x14ac:dyDescent="0.35">
      <c r="A161" s="42">
        <v>1256</v>
      </c>
      <c r="B161" s="42" t="s">
        <v>136</v>
      </c>
      <c r="C161" s="42" t="s">
        <v>137</v>
      </c>
      <c r="D161" s="42" t="s">
        <v>159</v>
      </c>
      <c r="E161" s="42" t="s">
        <v>160</v>
      </c>
      <c r="F161" s="42" t="s">
        <v>160</v>
      </c>
      <c r="G161" s="42" t="s">
        <v>141</v>
      </c>
      <c r="H161" s="42" t="s">
        <v>150</v>
      </c>
      <c r="I161" s="42"/>
      <c r="J161" s="45" t="s">
        <v>147</v>
      </c>
      <c r="K161" s="42" t="s">
        <v>78</v>
      </c>
      <c r="L161" s="42" t="s">
        <v>335</v>
      </c>
      <c r="M161" s="44" t="s">
        <v>381</v>
      </c>
    </row>
    <row r="162" spans="1:13" x14ac:dyDescent="0.35">
      <c r="A162" s="42">
        <v>1256</v>
      </c>
      <c r="B162" s="42" t="s">
        <v>136</v>
      </c>
      <c r="C162" s="42" t="s">
        <v>137</v>
      </c>
      <c r="D162" s="42" t="s">
        <v>159</v>
      </c>
      <c r="E162" s="42" t="s">
        <v>160</v>
      </c>
      <c r="F162" s="42" t="s">
        <v>160</v>
      </c>
      <c r="G162" s="42" t="s">
        <v>141</v>
      </c>
      <c r="H162" s="42" t="s">
        <v>150</v>
      </c>
      <c r="I162" s="42"/>
      <c r="J162" s="45" t="s">
        <v>147</v>
      </c>
      <c r="K162" s="42" t="s">
        <v>144</v>
      </c>
      <c r="L162" s="42" t="s">
        <v>144</v>
      </c>
      <c r="M162" s="44" t="s">
        <v>382</v>
      </c>
    </row>
    <row r="163" spans="1:13" x14ac:dyDescent="0.35">
      <c r="A163" s="42">
        <v>1256</v>
      </c>
      <c r="B163" s="42" t="s">
        <v>136</v>
      </c>
      <c r="C163" s="42" t="s">
        <v>137</v>
      </c>
      <c r="D163" s="42" t="s">
        <v>159</v>
      </c>
      <c r="E163" s="42" t="s">
        <v>160</v>
      </c>
      <c r="F163" s="42" t="s">
        <v>160</v>
      </c>
      <c r="G163" s="42" t="s">
        <v>141</v>
      </c>
      <c r="H163" s="42" t="s">
        <v>156</v>
      </c>
      <c r="I163" s="42"/>
      <c r="J163" s="43" t="s">
        <v>143</v>
      </c>
      <c r="K163" s="42" t="s">
        <v>78</v>
      </c>
      <c r="L163" s="42" t="s">
        <v>335</v>
      </c>
      <c r="M163" s="44" t="s">
        <v>383</v>
      </c>
    </row>
    <row r="164" spans="1:13" x14ac:dyDescent="0.35">
      <c r="A164" s="42">
        <v>1256</v>
      </c>
      <c r="B164" s="42" t="s">
        <v>136</v>
      </c>
      <c r="C164" s="42" t="s">
        <v>137</v>
      </c>
      <c r="D164" s="42" t="s">
        <v>159</v>
      </c>
      <c r="E164" s="42" t="s">
        <v>160</v>
      </c>
      <c r="F164" s="42" t="s">
        <v>160</v>
      </c>
      <c r="G164" s="42" t="s">
        <v>141</v>
      </c>
      <c r="H164" s="42" t="s">
        <v>156</v>
      </c>
      <c r="I164" s="42"/>
      <c r="J164" s="43" t="s">
        <v>143</v>
      </c>
      <c r="K164" s="42" t="s">
        <v>196</v>
      </c>
      <c r="L164" s="42" t="s">
        <v>252</v>
      </c>
      <c r="M164" s="44" t="s">
        <v>384</v>
      </c>
    </row>
    <row r="165" spans="1:13" x14ac:dyDescent="0.35">
      <c r="A165" s="42">
        <v>1256</v>
      </c>
      <c r="B165" s="42" t="s">
        <v>136</v>
      </c>
      <c r="C165" s="42" t="s">
        <v>137</v>
      </c>
      <c r="D165" s="42" t="s">
        <v>159</v>
      </c>
      <c r="E165" s="42" t="s">
        <v>160</v>
      </c>
      <c r="F165" s="42" t="s">
        <v>160</v>
      </c>
      <c r="G165" s="42" t="s">
        <v>141</v>
      </c>
      <c r="H165" s="42" t="s">
        <v>156</v>
      </c>
      <c r="I165" s="42"/>
      <c r="J165" s="43" t="s">
        <v>143</v>
      </c>
      <c r="K165" s="42" t="s">
        <v>144</v>
      </c>
      <c r="L165" s="42" t="s">
        <v>144</v>
      </c>
      <c r="M165" s="44" t="s">
        <v>385</v>
      </c>
    </row>
    <row r="166" spans="1:13" x14ac:dyDescent="0.35">
      <c r="A166" s="42">
        <v>855</v>
      </c>
      <c r="B166" s="42" t="s">
        <v>136</v>
      </c>
      <c r="C166" s="42" t="s">
        <v>199</v>
      </c>
      <c r="D166" s="42" t="s">
        <v>159</v>
      </c>
      <c r="E166" s="42" t="s">
        <v>139</v>
      </c>
      <c r="F166" s="42" t="s">
        <v>140</v>
      </c>
      <c r="G166" s="42" t="s">
        <v>141</v>
      </c>
      <c r="H166" s="42" t="s">
        <v>386</v>
      </c>
      <c r="I166" s="42">
        <v>5</v>
      </c>
      <c r="J166" s="43" t="s">
        <v>143</v>
      </c>
      <c r="K166" s="42" t="s">
        <v>76</v>
      </c>
      <c r="L166" s="42" t="s">
        <v>76</v>
      </c>
      <c r="M166" s="44" t="s">
        <v>387</v>
      </c>
    </row>
    <row r="167" spans="1:13" x14ac:dyDescent="0.35">
      <c r="A167" s="42">
        <v>855</v>
      </c>
      <c r="B167" s="42" t="s">
        <v>136</v>
      </c>
      <c r="C167" s="42" t="s">
        <v>199</v>
      </c>
      <c r="D167" s="42" t="s">
        <v>159</v>
      </c>
      <c r="E167" s="42" t="s">
        <v>139</v>
      </c>
      <c r="F167" s="42" t="s">
        <v>140</v>
      </c>
      <c r="G167" s="42" t="s">
        <v>141</v>
      </c>
      <c r="H167" s="42" t="s">
        <v>183</v>
      </c>
      <c r="I167" s="42">
        <v>6</v>
      </c>
      <c r="J167" s="43" t="s">
        <v>143</v>
      </c>
      <c r="K167" s="42" t="s">
        <v>144</v>
      </c>
      <c r="L167" s="42" t="s">
        <v>144</v>
      </c>
      <c r="M167" s="44" t="s">
        <v>388</v>
      </c>
    </row>
    <row r="168" spans="1:13" x14ac:dyDescent="0.35">
      <c r="A168" s="42">
        <v>855</v>
      </c>
      <c r="B168" s="42" t="s">
        <v>136</v>
      </c>
      <c r="C168" s="42" t="s">
        <v>199</v>
      </c>
      <c r="D168" s="42" t="s">
        <v>159</v>
      </c>
      <c r="E168" s="42" t="s">
        <v>139</v>
      </c>
      <c r="F168" s="42" t="s">
        <v>140</v>
      </c>
      <c r="G168" s="42" t="s">
        <v>141</v>
      </c>
      <c r="H168" s="42" t="s">
        <v>146</v>
      </c>
      <c r="I168" s="42">
        <v>7</v>
      </c>
      <c r="J168" s="46" t="s">
        <v>222</v>
      </c>
      <c r="K168" s="42" t="s">
        <v>144</v>
      </c>
      <c r="L168" s="42" t="s">
        <v>164</v>
      </c>
      <c r="M168" s="44" t="s">
        <v>389</v>
      </c>
    </row>
    <row r="169" spans="1:13" x14ac:dyDescent="0.35">
      <c r="A169" s="42">
        <v>855</v>
      </c>
      <c r="B169" s="42" t="s">
        <v>136</v>
      </c>
      <c r="C169" s="42" t="s">
        <v>199</v>
      </c>
      <c r="D169" s="42" t="s">
        <v>159</v>
      </c>
      <c r="E169" s="42" t="s">
        <v>139</v>
      </c>
      <c r="F169" s="42" t="s">
        <v>140</v>
      </c>
      <c r="G169" s="42" t="s">
        <v>141</v>
      </c>
      <c r="H169" s="42" t="s">
        <v>150</v>
      </c>
      <c r="I169" s="42"/>
      <c r="J169" s="45" t="s">
        <v>147</v>
      </c>
      <c r="K169" s="42" t="s">
        <v>80</v>
      </c>
      <c r="L169" s="42" t="s">
        <v>80</v>
      </c>
      <c r="M169" s="44" t="s">
        <v>390</v>
      </c>
    </row>
    <row r="170" spans="1:13" x14ac:dyDescent="0.35">
      <c r="A170" s="42">
        <v>855</v>
      </c>
      <c r="B170" s="42" t="s">
        <v>136</v>
      </c>
      <c r="C170" s="42" t="s">
        <v>199</v>
      </c>
      <c r="D170" s="42" t="s">
        <v>159</v>
      </c>
      <c r="E170" s="42" t="s">
        <v>139</v>
      </c>
      <c r="F170" s="42" t="s">
        <v>140</v>
      </c>
      <c r="G170" s="42" t="s">
        <v>141</v>
      </c>
      <c r="H170" s="42" t="s">
        <v>150</v>
      </c>
      <c r="I170" s="42"/>
      <c r="J170" s="45" t="s">
        <v>147</v>
      </c>
      <c r="K170" s="42" t="s">
        <v>78</v>
      </c>
      <c r="L170" s="42" t="s">
        <v>78</v>
      </c>
      <c r="M170" s="44" t="s">
        <v>391</v>
      </c>
    </row>
    <row r="171" spans="1:13" x14ac:dyDescent="0.35">
      <c r="A171" s="42">
        <v>855</v>
      </c>
      <c r="B171" s="42" t="s">
        <v>136</v>
      </c>
      <c r="C171" s="42" t="s">
        <v>199</v>
      </c>
      <c r="D171" s="42" t="s">
        <v>159</v>
      </c>
      <c r="E171" s="42" t="s">
        <v>139</v>
      </c>
      <c r="F171" s="42" t="s">
        <v>140</v>
      </c>
      <c r="G171" s="42" t="s">
        <v>141</v>
      </c>
      <c r="H171" s="42" t="s">
        <v>150</v>
      </c>
      <c r="I171" s="42"/>
      <c r="J171" s="45" t="s">
        <v>147</v>
      </c>
      <c r="K171" s="42" t="s">
        <v>305</v>
      </c>
      <c r="L171" s="42" t="s">
        <v>305</v>
      </c>
      <c r="M171" s="44" t="s">
        <v>392</v>
      </c>
    </row>
    <row r="172" spans="1:13" x14ac:dyDescent="0.35">
      <c r="A172" s="42">
        <v>855</v>
      </c>
      <c r="B172" s="42" t="s">
        <v>136</v>
      </c>
      <c r="C172" s="42" t="s">
        <v>199</v>
      </c>
      <c r="D172" s="42" t="s">
        <v>159</v>
      </c>
      <c r="E172" s="42" t="s">
        <v>139</v>
      </c>
      <c r="F172" s="42" t="s">
        <v>140</v>
      </c>
      <c r="G172" s="42" t="s">
        <v>141</v>
      </c>
      <c r="H172" s="42" t="s">
        <v>156</v>
      </c>
      <c r="I172" s="42"/>
      <c r="J172" s="43" t="s">
        <v>143</v>
      </c>
      <c r="K172" s="42" t="s">
        <v>144</v>
      </c>
      <c r="L172" s="42" t="s">
        <v>144</v>
      </c>
      <c r="M172" s="44" t="s">
        <v>393</v>
      </c>
    </row>
    <row r="173" spans="1:13" x14ac:dyDescent="0.35">
      <c r="A173" s="42">
        <v>855</v>
      </c>
      <c r="B173" s="42" t="s">
        <v>136</v>
      </c>
      <c r="C173" s="42" t="s">
        <v>199</v>
      </c>
      <c r="D173" s="42" t="s">
        <v>159</v>
      </c>
      <c r="E173" s="42" t="s">
        <v>139</v>
      </c>
      <c r="F173" s="42" t="s">
        <v>140</v>
      </c>
      <c r="G173" s="42" t="s">
        <v>141</v>
      </c>
      <c r="H173" s="42" t="s">
        <v>156</v>
      </c>
      <c r="I173" s="42"/>
      <c r="J173" s="43" t="s">
        <v>143</v>
      </c>
      <c r="K173" s="42" t="s">
        <v>144</v>
      </c>
      <c r="L173" s="42" t="s">
        <v>144</v>
      </c>
      <c r="M173" s="44" t="s">
        <v>394</v>
      </c>
    </row>
    <row r="174" spans="1:13" x14ac:dyDescent="0.35">
      <c r="A174" s="42">
        <v>855</v>
      </c>
      <c r="B174" s="42" t="s">
        <v>136</v>
      </c>
      <c r="C174" s="42" t="s">
        <v>199</v>
      </c>
      <c r="D174" s="42" t="s">
        <v>159</v>
      </c>
      <c r="E174" s="42" t="s">
        <v>139</v>
      </c>
      <c r="F174" s="42" t="s">
        <v>140</v>
      </c>
      <c r="G174" s="42" t="s">
        <v>141</v>
      </c>
      <c r="H174" s="42" t="s">
        <v>156</v>
      </c>
      <c r="I174" s="42"/>
      <c r="J174" s="43" t="s">
        <v>143</v>
      </c>
      <c r="K174" s="42" t="s">
        <v>144</v>
      </c>
      <c r="L174" s="42" t="s">
        <v>148</v>
      </c>
      <c r="M174" s="44" t="s">
        <v>395</v>
      </c>
    </row>
    <row r="175" spans="1:13" x14ac:dyDescent="0.35">
      <c r="A175" s="42">
        <v>814</v>
      </c>
      <c r="B175" s="42" t="s">
        <v>136</v>
      </c>
      <c r="C175" s="42" t="s">
        <v>137</v>
      </c>
      <c r="D175" s="42" t="s">
        <v>159</v>
      </c>
      <c r="E175" s="42" t="s">
        <v>160</v>
      </c>
      <c r="F175" s="42" t="s">
        <v>160</v>
      </c>
      <c r="G175" s="42" t="s">
        <v>141</v>
      </c>
      <c r="H175" s="42" t="s">
        <v>146</v>
      </c>
      <c r="I175" s="42">
        <v>8</v>
      </c>
      <c r="J175" s="46" t="s">
        <v>222</v>
      </c>
      <c r="K175" s="42" t="s">
        <v>210</v>
      </c>
      <c r="L175" s="42" t="s">
        <v>210</v>
      </c>
      <c r="M175" s="44" t="s">
        <v>396</v>
      </c>
    </row>
    <row r="176" spans="1:13" x14ac:dyDescent="0.35">
      <c r="A176" s="42">
        <v>814</v>
      </c>
      <c r="B176" s="42" t="s">
        <v>136</v>
      </c>
      <c r="C176" s="42" t="s">
        <v>137</v>
      </c>
      <c r="D176" s="42" t="s">
        <v>159</v>
      </c>
      <c r="E176" s="42" t="s">
        <v>160</v>
      </c>
      <c r="F176" s="42" t="s">
        <v>160</v>
      </c>
      <c r="G176" s="42" t="s">
        <v>141</v>
      </c>
      <c r="H176" s="42" t="s">
        <v>150</v>
      </c>
      <c r="I176" s="42"/>
      <c r="J176" s="45" t="s">
        <v>147</v>
      </c>
      <c r="K176" s="42" t="s">
        <v>181</v>
      </c>
      <c r="L176" s="42" t="s">
        <v>397</v>
      </c>
      <c r="M176" s="44" t="s">
        <v>398</v>
      </c>
    </row>
    <row r="177" spans="1:13" x14ac:dyDescent="0.35">
      <c r="A177" s="42">
        <v>814</v>
      </c>
      <c r="B177" s="42" t="s">
        <v>136</v>
      </c>
      <c r="C177" s="42" t="s">
        <v>137</v>
      </c>
      <c r="D177" s="42" t="s">
        <v>159</v>
      </c>
      <c r="E177" s="42" t="s">
        <v>160</v>
      </c>
      <c r="F177" s="42" t="s">
        <v>160</v>
      </c>
      <c r="G177" s="42" t="s">
        <v>141</v>
      </c>
      <c r="H177" s="42" t="s">
        <v>150</v>
      </c>
      <c r="I177" s="42"/>
      <c r="J177" s="45" t="s">
        <v>147</v>
      </c>
      <c r="K177" s="42" t="s">
        <v>181</v>
      </c>
      <c r="L177" s="42" t="s">
        <v>397</v>
      </c>
      <c r="M177" s="44" t="s">
        <v>399</v>
      </c>
    </row>
    <row r="178" spans="1:13" x14ac:dyDescent="0.35">
      <c r="A178" s="42">
        <v>814</v>
      </c>
      <c r="B178" s="42" t="s">
        <v>136</v>
      </c>
      <c r="C178" s="42" t="s">
        <v>137</v>
      </c>
      <c r="D178" s="42" t="s">
        <v>159</v>
      </c>
      <c r="E178" s="42" t="s">
        <v>160</v>
      </c>
      <c r="F178" s="42" t="s">
        <v>160</v>
      </c>
      <c r="G178" s="42" t="s">
        <v>141</v>
      </c>
      <c r="H178" s="42" t="s">
        <v>150</v>
      </c>
      <c r="I178" s="42"/>
      <c r="J178" s="45" t="s">
        <v>147</v>
      </c>
      <c r="K178" s="42" t="s">
        <v>144</v>
      </c>
      <c r="L178" s="42" t="s">
        <v>164</v>
      </c>
      <c r="M178" s="44" t="s">
        <v>400</v>
      </c>
    </row>
    <row r="179" spans="1:13" x14ac:dyDescent="0.35">
      <c r="A179" s="42">
        <v>814</v>
      </c>
      <c r="B179" s="42" t="s">
        <v>136</v>
      </c>
      <c r="C179" s="42" t="s">
        <v>137</v>
      </c>
      <c r="D179" s="42" t="s">
        <v>159</v>
      </c>
      <c r="E179" s="42" t="s">
        <v>160</v>
      </c>
      <c r="F179" s="42" t="s">
        <v>160</v>
      </c>
      <c r="G179" s="42" t="s">
        <v>141</v>
      </c>
      <c r="H179" s="42" t="s">
        <v>156</v>
      </c>
      <c r="I179" s="42"/>
      <c r="J179" s="43" t="s">
        <v>143</v>
      </c>
      <c r="K179" s="42" t="s">
        <v>84</v>
      </c>
      <c r="L179" s="42" t="s">
        <v>401</v>
      </c>
      <c r="M179" s="44" t="s">
        <v>402</v>
      </c>
    </row>
    <row r="180" spans="1:13" x14ac:dyDescent="0.35">
      <c r="A180" s="42">
        <v>814</v>
      </c>
      <c r="B180" s="42" t="s">
        <v>136</v>
      </c>
      <c r="C180" s="42" t="s">
        <v>137</v>
      </c>
      <c r="D180" s="42" t="s">
        <v>159</v>
      </c>
      <c r="E180" s="42" t="s">
        <v>160</v>
      </c>
      <c r="F180" s="42" t="s">
        <v>160</v>
      </c>
      <c r="G180" s="42" t="s">
        <v>141</v>
      </c>
      <c r="H180" s="42" t="s">
        <v>156</v>
      </c>
      <c r="I180" s="42"/>
      <c r="J180" s="43" t="s">
        <v>143</v>
      </c>
      <c r="K180" s="42" t="s">
        <v>196</v>
      </c>
      <c r="L180" s="42" t="s">
        <v>196</v>
      </c>
      <c r="M180" s="44" t="s">
        <v>403</v>
      </c>
    </row>
    <row r="181" spans="1:13" x14ac:dyDescent="0.35">
      <c r="A181" s="42">
        <v>814</v>
      </c>
      <c r="B181" s="42" t="s">
        <v>136</v>
      </c>
      <c r="C181" s="42" t="s">
        <v>137</v>
      </c>
      <c r="D181" s="42" t="s">
        <v>159</v>
      </c>
      <c r="E181" s="42" t="s">
        <v>160</v>
      </c>
      <c r="F181" s="42" t="s">
        <v>160</v>
      </c>
      <c r="G181" s="42" t="s">
        <v>141</v>
      </c>
      <c r="H181" s="42" t="s">
        <v>156</v>
      </c>
      <c r="I181" s="42"/>
      <c r="J181" s="43" t="s">
        <v>143</v>
      </c>
      <c r="K181" s="42" t="s">
        <v>144</v>
      </c>
      <c r="L181" s="42" t="s">
        <v>144</v>
      </c>
      <c r="M181" s="44" t="s">
        <v>404</v>
      </c>
    </row>
    <row r="182" spans="1:13" x14ac:dyDescent="0.35">
      <c r="A182" s="42">
        <v>826</v>
      </c>
      <c r="B182" s="42" t="s">
        <v>136</v>
      </c>
      <c r="C182" s="42" t="s">
        <v>199</v>
      </c>
      <c r="D182" s="42" t="s">
        <v>159</v>
      </c>
      <c r="E182" s="42" t="s">
        <v>160</v>
      </c>
      <c r="F182" s="42" t="s">
        <v>160</v>
      </c>
      <c r="G182" s="42" t="s">
        <v>141</v>
      </c>
      <c r="H182" s="42" t="s">
        <v>146</v>
      </c>
      <c r="I182" s="42">
        <v>8</v>
      </c>
      <c r="J182" s="46" t="s">
        <v>222</v>
      </c>
      <c r="K182" s="42" t="s">
        <v>144</v>
      </c>
      <c r="L182" s="42" t="s">
        <v>250</v>
      </c>
      <c r="M182" s="44" t="s">
        <v>405</v>
      </c>
    </row>
    <row r="183" spans="1:13" x14ac:dyDescent="0.35">
      <c r="A183" s="42">
        <v>826</v>
      </c>
      <c r="B183" s="42" t="s">
        <v>136</v>
      </c>
      <c r="C183" s="42" t="s">
        <v>199</v>
      </c>
      <c r="D183" s="42" t="s">
        <v>159</v>
      </c>
      <c r="E183" s="42" t="s">
        <v>160</v>
      </c>
      <c r="F183" s="42" t="s">
        <v>160</v>
      </c>
      <c r="G183" s="42" t="s">
        <v>141</v>
      </c>
      <c r="H183" s="42" t="s">
        <v>150</v>
      </c>
      <c r="I183" s="42"/>
      <c r="J183" s="45" t="s">
        <v>147</v>
      </c>
      <c r="K183" s="42" t="s">
        <v>190</v>
      </c>
      <c r="L183" s="42" t="s">
        <v>190</v>
      </c>
      <c r="M183" s="44" t="s">
        <v>406</v>
      </c>
    </row>
    <row r="184" spans="1:13" x14ac:dyDescent="0.35">
      <c r="A184" s="42">
        <v>826</v>
      </c>
      <c r="B184" s="42" t="s">
        <v>136</v>
      </c>
      <c r="C184" s="42" t="s">
        <v>199</v>
      </c>
      <c r="D184" s="42" t="s">
        <v>159</v>
      </c>
      <c r="E184" s="42" t="s">
        <v>160</v>
      </c>
      <c r="F184" s="42" t="s">
        <v>160</v>
      </c>
      <c r="G184" s="42" t="s">
        <v>141</v>
      </c>
      <c r="H184" s="42" t="s">
        <v>150</v>
      </c>
      <c r="I184" s="42"/>
      <c r="J184" s="45" t="s">
        <v>147</v>
      </c>
      <c r="K184" s="42" t="s">
        <v>80</v>
      </c>
      <c r="L184" s="42" t="s">
        <v>80</v>
      </c>
      <c r="M184" s="44" t="s">
        <v>407</v>
      </c>
    </row>
    <row r="185" spans="1:13" x14ac:dyDescent="0.35">
      <c r="A185" s="42">
        <v>826</v>
      </c>
      <c r="B185" s="42" t="s">
        <v>136</v>
      </c>
      <c r="C185" s="42" t="s">
        <v>199</v>
      </c>
      <c r="D185" s="42" t="s">
        <v>159</v>
      </c>
      <c r="E185" s="42" t="s">
        <v>160</v>
      </c>
      <c r="F185" s="42" t="s">
        <v>160</v>
      </c>
      <c r="G185" s="42" t="s">
        <v>141</v>
      </c>
      <c r="H185" s="42" t="s">
        <v>150</v>
      </c>
      <c r="I185" s="42"/>
      <c r="J185" s="45" t="s">
        <v>147</v>
      </c>
      <c r="K185" s="42" t="s">
        <v>78</v>
      </c>
      <c r="L185" s="42" t="s">
        <v>78</v>
      </c>
      <c r="M185" s="44" t="s">
        <v>408</v>
      </c>
    </row>
    <row r="186" spans="1:13" x14ac:dyDescent="0.35">
      <c r="A186" s="42">
        <v>826</v>
      </c>
      <c r="B186" s="42" t="s">
        <v>136</v>
      </c>
      <c r="C186" s="42" t="s">
        <v>199</v>
      </c>
      <c r="D186" s="42" t="s">
        <v>159</v>
      </c>
      <c r="E186" s="42" t="s">
        <v>160</v>
      </c>
      <c r="F186" s="42" t="s">
        <v>160</v>
      </c>
      <c r="G186" s="42" t="s">
        <v>141</v>
      </c>
      <c r="H186" s="42" t="s">
        <v>156</v>
      </c>
      <c r="I186" s="42"/>
      <c r="J186" s="43" t="s">
        <v>143</v>
      </c>
      <c r="K186" s="42" t="s">
        <v>144</v>
      </c>
      <c r="L186" s="42" t="s">
        <v>144</v>
      </c>
      <c r="M186" s="44" t="s">
        <v>409</v>
      </c>
    </row>
    <row r="187" spans="1:13" x14ac:dyDescent="0.35">
      <c r="A187" s="42">
        <v>870</v>
      </c>
      <c r="B187" s="42" t="s">
        <v>136</v>
      </c>
      <c r="C187" s="42" t="s">
        <v>199</v>
      </c>
      <c r="D187" s="42" t="s">
        <v>176</v>
      </c>
      <c r="E187" s="42" t="s">
        <v>206</v>
      </c>
      <c r="F187" s="42" t="s">
        <v>206</v>
      </c>
      <c r="G187" s="42" t="s">
        <v>200</v>
      </c>
      <c r="H187" s="42" t="s">
        <v>146</v>
      </c>
      <c r="I187" s="42">
        <v>9</v>
      </c>
      <c r="J187" s="45" t="s">
        <v>147</v>
      </c>
      <c r="K187" s="42" t="s">
        <v>80</v>
      </c>
      <c r="L187" s="42" t="s">
        <v>80</v>
      </c>
      <c r="M187" s="44" t="s">
        <v>410</v>
      </c>
    </row>
    <row r="188" spans="1:13" x14ac:dyDescent="0.35">
      <c r="A188" s="42">
        <v>870</v>
      </c>
      <c r="B188" s="42" t="s">
        <v>136</v>
      </c>
      <c r="C188" s="42" t="s">
        <v>199</v>
      </c>
      <c r="D188" s="42" t="s">
        <v>176</v>
      </c>
      <c r="E188" s="42" t="s">
        <v>206</v>
      </c>
      <c r="F188" s="42" t="s">
        <v>206</v>
      </c>
      <c r="G188" s="42" t="s">
        <v>200</v>
      </c>
      <c r="H188" s="42" t="s">
        <v>150</v>
      </c>
      <c r="I188" s="42"/>
      <c r="J188" s="45" t="s">
        <v>147</v>
      </c>
      <c r="K188" s="42" t="s">
        <v>144</v>
      </c>
      <c r="L188" s="42" t="s">
        <v>144</v>
      </c>
      <c r="M188" s="44" t="s">
        <v>411</v>
      </c>
    </row>
    <row r="189" spans="1:13" x14ac:dyDescent="0.35">
      <c r="A189" s="42">
        <v>870</v>
      </c>
      <c r="B189" s="42" t="s">
        <v>136</v>
      </c>
      <c r="C189" s="42" t="s">
        <v>199</v>
      </c>
      <c r="D189" s="42" t="s">
        <v>176</v>
      </c>
      <c r="E189" s="42" t="s">
        <v>206</v>
      </c>
      <c r="F189" s="42" t="s">
        <v>206</v>
      </c>
      <c r="G189" s="42" t="s">
        <v>200</v>
      </c>
      <c r="H189" s="42" t="s">
        <v>150</v>
      </c>
      <c r="I189" s="42"/>
      <c r="J189" s="45" t="s">
        <v>147</v>
      </c>
      <c r="K189" s="42" t="s">
        <v>80</v>
      </c>
      <c r="L189" s="42" t="s">
        <v>80</v>
      </c>
      <c r="M189" s="44" t="s">
        <v>412</v>
      </c>
    </row>
    <row r="190" spans="1:13" x14ac:dyDescent="0.35">
      <c r="A190" s="42">
        <v>870</v>
      </c>
      <c r="B190" s="42" t="s">
        <v>136</v>
      </c>
      <c r="C190" s="42" t="s">
        <v>199</v>
      </c>
      <c r="D190" s="42" t="s">
        <v>176</v>
      </c>
      <c r="E190" s="42" t="s">
        <v>206</v>
      </c>
      <c r="F190" s="42" t="s">
        <v>206</v>
      </c>
      <c r="G190" s="42" t="s">
        <v>200</v>
      </c>
      <c r="H190" s="42" t="s">
        <v>150</v>
      </c>
      <c r="I190" s="42"/>
      <c r="J190" s="45" t="s">
        <v>147</v>
      </c>
      <c r="K190" s="42" t="s">
        <v>78</v>
      </c>
      <c r="L190" s="42" t="s">
        <v>78</v>
      </c>
      <c r="M190" s="44" t="s">
        <v>413</v>
      </c>
    </row>
    <row r="191" spans="1:13" x14ac:dyDescent="0.35">
      <c r="A191" s="42">
        <v>870</v>
      </c>
      <c r="B191" s="42" t="s">
        <v>136</v>
      </c>
      <c r="C191" s="42" t="s">
        <v>199</v>
      </c>
      <c r="D191" s="42" t="s">
        <v>176</v>
      </c>
      <c r="E191" s="42" t="s">
        <v>206</v>
      </c>
      <c r="F191" s="42" t="s">
        <v>206</v>
      </c>
      <c r="G191" s="42" t="s">
        <v>200</v>
      </c>
      <c r="H191" s="42" t="s">
        <v>156</v>
      </c>
      <c r="I191" s="42"/>
      <c r="J191" s="43" t="s">
        <v>143</v>
      </c>
      <c r="K191" s="42" t="s">
        <v>190</v>
      </c>
      <c r="L191" s="42" t="s">
        <v>190</v>
      </c>
      <c r="M191" s="44" t="s">
        <v>414</v>
      </c>
    </row>
    <row r="192" spans="1:13" x14ac:dyDescent="0.35">
      <c r="A192" s="42">
        <v>870</v>
      </c>
      <c r="B192" s="42" t="s">
        <v>136</v>
      </c>
      <c r="C192" s="42" t="s">
        <v>199</v>
      </c>
      <c r="D192" s="42" t="s">
        <v>176</v>
      </c>
      <c r="E192" s="42" t="s">
        <v>206</v>
      </c>
      <c r="F192" s="42" t="s">
        <v>206</v>
      </c>
      <c r="G192" s="42" t="s">
        <v>200</v>
      </c>
      <c r="H192" s="42" t="s">
        <v>156</v>
      </c>
      <c r="I192" s="42"/>
      <c r="J192" s="43" t="s">
        <v>143</v>
      </c>
      <c r="K192" s="42" t="s">
        <v>196</v>
      </c>
      <c r="L192" s="42" t="s">
        <v>196</v>
      </c>
      <c r="M192" s="44" t="s">
        <v>415</v>
      </c>
    </row>
    <row r="193" spans="1:13" x14ac:dyDescent="0.35">
      <c r="A193" s="42">
        <v>870</v>
      </c>
      <c r="B193" s="42" t="s">
        <v>136</v>
      </c>
      <c r="C193" s="42" t="s">
        <v>199</v>
      </c>
      <c r="D193" s="42" t="s">
        <v>176</v>
      </c>
      <c r="E193" s="42" t="s">
        <v>206</v>
      </c>
      <c r="F193" s="42" t="s">
        <v>206</v>
      </c>
      <c r="G193" s="42" t="s">
        <v>200</v>
      </c>
      <c r="H193" s="42" t="s">
        <v>156</v>
      </c>
      <c r="I193" s="42"/>
      <c r="J193" s="43" t="s">
        <v>143</v>
      </c>
      <c r="K193" s="42" t="s">
        <v>210</v>
      </c>
      <c r="L193" s="42" t="s">
        <v>210</v>
      </c>
      <c r="M193" s="44" t="s">
        <v>416</v>
      </c>
    </row>
    <row r="194" spans="1:13" ht="37.5" x14ac:dyDescent="0.35">
      <c r="A194" s="42">
        <v>871</v>
      </c>
      <c r="B194" s="42" t="s">
        <v>136</v>
      </c>
      <c r="C194" s="42" t="s">
        <v>199</v>
      </c>
      <c r="D194" s="42" t="s">
        <v>219</v>
      </c>
      <c r="E194" s="42" t="s">
        <v>139</v>
      </c>
      <c r="F194" s="42" t="s">
        <v>140</v>
      </c>
      <c r="G194" s="42" t="s">
        <v>141</v>
      </c>
      <c r="H194" s="42" t="s">
        <v>142</v>
      </c>
      <c r="I194" s="42">
        <v>5</v>
      </c>
      <c r="J194" s="43" t="s">
        <v>143</v>
      </c>
      <c r="K194" s="42" t="s">
        <v>262</v>
      </c>
      <c r="L194" s="42" t="s">
        <v>263</v>
      </c>
      <c r="M194" s="44" t="s">
        <v>417</v>
      </c>
    </row>
    <row r="195" spans="1:13" x14ac:dyDescent="0.35">
      <c r="A195" s="42">
        <v>871</v>
      </c>
      <c r="B195" s="42" t="s">
        <v>136</v>
      </c>
      <c r="C195" s="42" t="s">
        <v>199</v>
      </c>
      <c r="D195" s="42" t="s">
        <v>219</v>
      </c>
      <c r="E195" s="42" t="s">
        <v>139</v>
      </c>
      <c r="F195" s="42" t="s">
        <v>140</v>
      </c>
      <c r="G195" s="42" t="s">
        <v>141</v>
      </c>
      <c r="H195" s="42" t="s">
        <v>146</v>
      </c>
      <c r="I195" s="42">
        <v>10</v>
      </c>
      <c r="J195" s="45" t="s">
        <v>147</v>
      </c>
      <c r="K195" s="42" t="s">
        <v>82</v>
      </c>
      <c r="L195" s="42" t="s">
        <v>82</v>
      </c>
      <c r="M195" s="44" t="s">
        <v>418</v>
      </c>
    </row>
    <row r="196" spans="1:13" x14ac:dyDescent="0.35">
      <c r="A196" s="42">
        <v>871</v>
      </c>
      <c r="B196" s="42" t="s">
        <v>136</v>
      </c>
      <c r="C196" s="42" t="s">
        <v>199</v>
      </c>
      <c r="D196" s="42" t="s">
        <v>219</v>
      </c>
      <c r="E196" s="42" t="s">
        <v>139</v>
      </c>
      <c r="F196" s="42" t="s">
        <v>140</v>
      </c>
      <c r="G196" s="42" t="s">
        <v>141</v>
      </c>
      <c r="H196" s="42" t="s">
        <v>150</v>
      </c>
      <c r="I196" s="42"/>
      <c r="J196" s="45" t="s">
        <v>147</v>
      </c>
      <c r="K196" s="42" t="s">
        <v>76</v>
      </c>
      <c r="L196" s="42" t="s">
        <v>76</v>
      </c>
      <c r="M196" s="44" t="s">
        <v>419</v>
      </c>
    </row>
    <row r="197" spans="1:13" x14ac:dyDescent="0.35">
      <c r="A197" s="42">
        <v>871</v>
      </c>
      <c r="B197" s="42" t="s">
        <v>136</v>
      </c>
      <c r="C197" s="42" t="s">
        <v>199</v>
      </c>
      <c r="D197" s="42" t="s">
        <v>219</v>
      </c>
      <c r="E197" s="42" t="s">
        <v>139</v>
      </c>
      <c r="F197" s="42" t="s">
        <v>140</v>
      </c>
      <c r="G197" s="42" t="s">
        <v>141</v>
      </c>
      <c r="H197" s="42" t="s">
        <v>150</v>
      </c>
      <c r="I197" s="42"/>
      <c r="J197" s="45" t="s">
        <v>147</v>
      </c>
      <c r="K197" s="42" t="s">
        <v>144</v>
      </c>
      <c r="L197" s="42" t="s">
        <v>144</v>
      </c>
      <c r="M197" s="44" t="s">
        <v>420</v>
      </c>
    </row>
    <row r="198" spans="1:13" x14ac:dyDescent="0.35">
      <c r="A198" s="42">
        <v>871</v>
      </c>
      <c r="B198" s="42" t="s">
        <v>136</v>
      </c>
      <c r="C198" s="42" t="s">
        <v>199</v>
      </c>
      <c r="D198" s="42" t="s">
        <v>219</v>
      </c>
      <c r="E198" s="42" t="s">
        <v>139</v>
      </c>
      <c r="F198" s="42" t="s">
        <v>140</v>
      </c>
      <c r="G198" s="42" t="s">
        <v>141</v>
      </c>
      <c r="H198" s="42" t="s">
        <v>150</v>
      </c>
      <c r="I198" s="42"/>
      <c r="J198" s="45" t="s">
        <v>147</v>
      </c>
      <c r="K198" s="42" t="s">
        <v>78</v>
      </c>
      <c r="L198" s="42" t="s">
        <v>78</v>
      </c>
      <c r="M198" s="44" t="s">
        <v>421</v>
      </c>
    </row>
    <row r="199" spans="1:13" x14ac:dyDescent="0.35">
      <c r="A199" s="42">
        <v>871</v>
      </c>
      <c r="B199" s="42" t="s">
        <v>136</v>
      </c>
      <c r="C199" s="42" t="s">
        <v>199</v>
      </c>
      <c r="D199" s="42" t="s">
        <v>219</v>
      </c>
      <c r="E199" s="42" t="s">
        <v>139</v>
      </c>
      <c r="F199" s="42" t="s">
        <v>140</v>
      </c>
      <c r="G199" s="42" t="s">
        <v>141</v>
      </c>
      <c r="H199" s="42" t="s">
        <v>156</v>
      </c>
      <c r="I199" s="42"/>
      <c r="J199" s="43" t="s">
        <v>143</v>
      </c>
      <c r="K199" s="42" t="s">
        <v>144</v>
      </c>
      <c r="L199" s="42" t="s">
        <v>144</v>
      </c>
      <c r="M199" s="44" t="s">
        <v>422</v>
      </c>
    </row>
    <row r="200" spans="1:13" x14ac:dyDescent="0.35">
      <c r="A200" s="42">
        <v>871</v>
      </c>
      <c r="B200" s="42" t="s">
        <v>136</v>
      </c>
      <c r="C200" s="42" t="s">
        <v>199</v>
      </c>
      <c r="D200" s="42" t="s">
        <v>219</v>
      </c>
      <c r="E200" s="42" t="s">
        <v>139</v>
      </c>
      <c r="F200" s="42" t="s">
        <v>140</v>
      </c>
      <c r="G200" s="42" t="s">
        <v>141</v>
      </c>
      <c r="H200" s="42" t="s">
        <v>156</v>
      </c>
      <c r="I200" s="42"/>
      <c r="J200" s="43" t="s">
        <v>143</v>
      </c>
      <c r="K200" s="42" t="s">
        <v>78</v>
      </c>
      <c r="L200" s="42" t="s">
        <v>335</v>
      </c>
      <c r="M200" s="44" t="s">
        <v>423</v>
      </c>
    </row>
    <row r="201" spans="1:13" x14ac:dyDescent="0.35">
      <c r="A201" s="42">
        <v>871</v>
      </c>
      <c r="B201" s="42" t="s">
        <v>136</v>
      </c>
      <c r="C201" s="42" t="s">
        <v>199</v>
      </c>
      <c r="D201" s="42" t="s">
        <v>219</v>
      </c>
      <c r="E201" s="42" t="s">
        <v>139</v>
      </c>
      <c r="F201" s="42" t="s">
        <v>140</v>
      </c>
      <c r="G201" s="42" t="s">
        <v>141</v>
      </c>
      <c r="H201" s="42" t="s">
        <v>156</v>
      </c>
      <c r="I201" s="42"/>
      <c r="J201" s="43" t="s">
        <v>143</v>
      </c>
      <c r="K201" s="42" t="s">
        <v>84</v>
      </c>
      <c r="L201" s="42" t="s">
        <v>424</v>
      </c>
      <c r="M201" s="44" t="s">
        <v>425</v>
      </c>
    </row>
    <row r="202" spans="1:13" x14ac:dyDescent="0.35">
      <c r="A202" s="42">
        <v>827</v>
      </c>
      <c r="B202" s="42" t="s">
        <v>136</v>
      </c>
      <c r="C202" s="42" t="s">
        <v>199</v>
      </c>
      <c r="D202" s="42" t="s">
        <v>159</v>
      </c>
      <c r="E202" s="42" t="s">
        <v>160</v>
      </c>
      <c r="F202" s="42" t="s">
        <v>160</v>
      </c>
      <c r="G202" s="42" t="s">
        <v>141</v>
      </c>
      <c r="H202" s="42" t="s">
        <v>146</v>
      </c>
      <c r="I202" s="42">
        <v>8</v>
      </c>
      <c r="J202" s="46" t="s">
        <v>222</v>
      </c>
      <c r="K202" s="42" t="s">
        <v>210</v>
      </c>
      <c r="L202" s="42" t="s">
        <v>210</v>
      </c>
      <c r="M202" s="44" t="s">
        <v>426</v>
      </c>
    </row>
    <row r="203" spans="1:13" x14ac:dyDescent="0.35">
      <c r="A203" s="42">
        <v>827</v>
      </c>
      <c r="B203" s="42" t="s">
        <v>136</v>
      </c>
      <c r="C203" s="42" t="s">
        <v>199</v>
      </c>
      <c r="D203" s="42" t="s">
        <v>159</v>
      </c>
      <c r="E203" s="42" t="s">
        <v>160</v>
      </c>
      <c r="F203" s="42" t="s">
        <v>160</v>
      </c>
      <c r="G203" s="42" t="s">
        <v>141</v>
      </c>
      <c r="H203" s="42" t="s">
        <v>150</v>
      </c>
      <c r="I203" s="42"/>
      <c r="J203" s="45" t="s">
        <v>147</v>
      </c>
      <c r="K203" s="42" t="s">
        <v>144</v>
      </c>
      <c r="L203" s="42" t="s">
        <v>144</v>
      </c>
      <c r="M203" s="44" t="s">
        <v>273</v>
      </c>
    </row>
    <row r="204" spans="1:13" x14ac:dyDescent="0.35">
      <c r="A204" s="42">
        <v>827</v>
      </c>
      <c r="B204" s="42" t="s">
        <v>136</v>
      </c>
      <c r="C204" s="42" t="s">
        <v>199</v>
      </c>
      <c r="D204" s="42" t="s">
        <v>159</v>
      </c>
      <c r="E204" s="42" t="s">
        <v>160</v>
      </c>
      <c r="F204" s="42" t="s">
        <v>160</v>
      </c>
      <c r="G204" s="42" t="s">
        <v>141</v>
      </c>
      <c r="H204" s="42" t="s">
        <v>150</v>
      </c>
      <c r="I204" s="42"/>
      <c r="J204" s="45" t="s">
        <v>147</v>
      </c>
      <c r="K204" s="42" t="s">
        <v>196</v>
      </c>
      <c r="L204" s="42" t="s">
        <v>196</v>
      </c>
      <c r="M204" s="44" t="s">
        <v>427</v>
      </c>
    </row>
    <row r="205" spans="1:13" x14ac:dyDescent="0.35">
      <c r="A205" s="42">
        <v>827</v>
      </c>
      <c r="B205" s="42" t="s">
        <v>136</v>
      </c>
      <c r="C205" s="42" t="s">
        <v>199</v>
      </c>
      <c r="D205" s="42" t="s">
        <v>159</v>
      </c>
      <c r="E205" s="42" t="s">
        <v>160</v>
      </c>
      <c r="F205" s="42" t="s">
        <v>160</v>
      </c>
      <c r="G205" s="42" t="s">
        <v>141</v>
      </c>
      <c r="H205" s="42" t="s">
        <v>150</v>
      </c>
      <c r="I205" s="42"/>
      <c r="J205" s="45" t="s">
        <v>147</v>
      </c>
      <c r="K205" s="42" t="s">
        <v>184</v>
      </c>
      <c r="L205" s="42" t="s">
        <v>184</v>
      </c>
      <c r="M205" s="44" t="s">
        <v>428</v>
      </c>
    </row>
    <row r="206" spans="1:13" x14ac:dyDescent="0.35">
      <c r="A206" s="42">
        <v>827</v>
      </c>
      <c r="B206" s="42" t="s">
        <v>136</v>
      </c>
      <c r="C206" s="42" t="s">
        <v>199</v>
      </c>
      <c r="D206" s="42" t="s">
        <v>159</v>
      </c>
      <c r="E206" s="42" t="s">
        <v>160</v>
      </c>
      <c r="F206" s="42" t="s">
        <v>160</v>
      </c>
      <c r="G206" s="42" t="s">
        <v>141</v>
      </c>
      <c r="H206" s="42" t="s">
        <v>156</v>
      </c>
      <c r="I206" s="42"/>
      <c r="J206" s="43" t="s">
        <v>143</v>
      </c>
      <c r="K206" s="42" t="s">
        <v>181</v>
      </c>
      <c r="L206" s="42" t="s">
        <v>397</v>
      </c>
      <c r="M206" s="44" t="s">
        <v>429</v>
      </c>
    </row>
    <row r="207" spans="1:13" x14ac:dyDescent="0.35">
      <c r="A207" s="42">
        <v>876</v>
      </c>
      <c r="B207" s="42" t="s">
        <v>136</v>
      </c>
      <c r="C207" s="42" t="s">
        <v>137</v>
      </c>
      <c r="D207" s="42" t="s">
        <v>159</v>
      </c>
      <c r="E207" s="42" t="s">
        <v>139</v>
      </c>
      <c r="F207" s="42" t="s">
        <v>140</v>
      </c>
      <c r="G207" s="42" t="s">
        <v>141</v>
      </c>
      <c r="H207" s="42" t="s">
        <v>146</v>
      </c>
      <c r="I207" s="42">
        <v>9</v>
      </c>
      <c r="J207" s="45" t="s">
        <v>147</v>
      </c>
      <c r="K207" s="42" t="s">
        <v>78</v>
      </c>
      <c r="L207" s="42" t="s">
        <v>78</v>
      </c>
      <c r="M207" s="44" t="s">
        <v>430</v>
      </c>
    </row>
    <row r="208" spans="1:13" x14ac:dyDescent="0.35">
      <c r="A208" s="42">
        <v>876</v>
      </c>
      <c r="B208" s="42" t="s">
        <v>136</v>
      </c>
      <c r="C208" s="42" t="s">
        <v>137</v>
      </c>
      <c r="D208" s="42" t="s">
        <v>159</v>
      </c>
      <c r="E208" s="42" t="s">
        <v>139</v>
      </c>
      <c r="F208" s="42" t="s">
        <v>140</v>
      </c>
      <c r="G208" s="42" t="s">
        <v>141</v>
      </c>
      <c r="H208" s="42" t="s">
        <v>150</v>
      </c>
      <c r="I208" s="42"/>
      <c r="J208" s="45" t="s">
        <v>147</v>
      </c>
      <c r="K208" s="42" t="s">
        <v>190</v>
      </c>
      <c r="L208" s="42" t="s">
        <v>190</v>
      </c>
      <c r="M208" s="44" t="s">
        <v>431</v>
      </c>
    </row>
    <row r="209" spans="1:13" x14ac:dyDescent="0.35">
      <c r="A209" s="42">
        <v>876</v>
      </c>
      <c r="B209" s="42" t="s">
        <v>136</v>
      </c>
      <c r="C209" s="42" t="s">
        <v>137</v>
      </c>
      <c r="D209" s="42" t="s">
        <v>159</v>
      </c>
      <c r="E209" s="42" t="s">
        <v>139</v>
      </c>
      <c r="F209" s="42" t="s">
        <v>140</v>
      </c>
      <c r="G209" s="42" t="s">
        <v>141</v>
      </c>
      <c r="H209" s="42" t="s">
        <v>150</v>
      </c>
      <c r="I209" s="42"/>
      <c r="J209" s="45" t="s">
        <v>147</v>
      </c>
      <c r="K209" s="42" t="s">
        <v>210</v>
      </c>
      <c r="L209" s="42" t="s">
        <v>210</v>
      </c>
      <c r="M209" s="44" t="s">
        <v>432</v>
      </c>
    </row>
    <row r="210" spans="1:13" x14ac:dyDescent="0.35">
      <c r="A210" s="42">
        <v>876</v>
      </c>
      <c r="B210" s="42" t="s">
        <v>136</v>
      </c>
      <c r="C210" s="42" t="s">
        <v>137</v>
      </c>
      <c r="D210" s="42" t="s">
        <v>159</v>
      </c>
      <c r="E210" s="42" t="s">
        <v>139</v>
      </c>
      <c r="F210" s="42" t="s">
        <v>140</v>
      </c>
      <c r="G210" s="42" t="s">
        <v>141</v>
      </c>
      <c r="H210" s="42" t="s">
        <v>156</v>
      </c>
      <c r="I210" s="42"/>
      <c r="J210" s="43" t="s">
        <v>143</v>
      </c>
      <c r="K210" s="42" t="s">
        <v>196</v>
      </c>
      <c r="L210" s="42" t="s">
        <v>196</v>
      </c>
      <c r="M210" s="44" t="s">
        <v>433</v>
      </c>
    </row>
    <row r="211" spans="1:13" x14ac:dyDescent="0.35">
      <c r="A211" s="42">
        <v>876</v>
      </c>
      <c r="B211" s="42" t="s">
        <v>136</v>
      </c>
      <c r="C211" s="42" t="s">
        <v>137</v>
      </c>
      <c r="D211" s="42" t="s">
        <v>159</v>
      </c>
      <c r="E211" s="42" t="s">
        <v>139</v>
      </c>
      <c r="F211" s="42" t="s">
        <v>140</v>
      </c>
      <c r="G211" s="42" t="s">
        <v>141</v>
      </c>
      <c r="H211" s="42" t="s">
        <v>156</v>
      </c>
      <c r="I211" s="42"/>
      <c r="J211" s="43" t="s">
        <v>143</v>
      </c>
      <c r="K211" s="42" t="s">
        <v>181</v>
      </c>
      <c r="L211" s="42" t="s">
        <v>181</v>
      </c>
      <c r="M211" s="44" t="s">
        <v>434</v>
      </c>
    </row>
    <row r="212" spans="1:13" x14ac:dyDescent="0.35">
      <c r="A212" s="42">
        <v>832</v>
      </c>
      <c r="B212" s="42" t="s">
        <v>175</v>
      </c>
      <c r="C212" s="42" t="s">
        <v>137</v>
      </c>
      <c r="D212" s="42" t="s">
        <v>159</v>
      </c>
      <c r="E212" s="42" t="s">
        <v>160</v>
      </c>
      <c r="F212" s="42" t="s">
        <v>160</v>
      </c>
      <c r="G212" s="42" t="s">
        <v>141</v>
      </c>
      <c r="H212" s="42" t="s">
        <v>177</v>
      </c>
      <c r="I212" s="42">
        <v>5</v>
      </c>
      <c r="J212" s="43" t="s">
        <v>143</v>
      </c>
      <c r="K212" s="42" t="s">
        <v>196</v>
      </c>
      <c r="L212" s="42" t="s">
        <v>196</v>
      </c>
      <c r="M212" s="44" t="s">
        <v>435</v>
      </c>
    </row>
    <row r="213" spans="1:13" x14ac:dyDescent="0.35">
      <c r="A213" s="42">
        <v>832</v>
      </c>
      <c r="B213" s="42" t="s">
        <v>175</v>
      </c>
      <c r="C213" s="42" t="s">
        <v>137</v>
      </c>
      <c r="D213" s="42" t="s">
        <v>159</v>
      </c>
      <c r="E213" s="42" t="s">
        <v>160</v>
      </c>
      <c r="F213" s="42" t="s">
        <v>160</v>
      </c>
      <c r="G213" s="42" t="s">
        <v>141</v>
      </c>
      <c r="H213" s="42" t="s">
        <v>166</v>
      </c>
      <c r="I213" s="42">
        <v>5</v>
      </c>
      <c r="J213" s="43" t="s">
        <v>143</v>
      </c>
      <c r="K213" s="42" t="s">
        <v>144</v>
      </c>
      <c r="L213" s="42" t="s">
        <v>164</v>
      </c>
      <c r="M213" s="44" t="s">
        <v>436</v>
      </c>
    </row>
    <row r="214" spans="1:13" x14ac:dyDescent="0.35">
      <c r="A214" s="42">
        <v>832</v>
      </c>
      <c r="B214" s="42" t="s">
        <v>175</v>
      </c>
      <c r="C214" s="42" t="s">
        <v>137</v>
      </c>
      <c r="D214" s="42" t="s">
        <v>159</v>
      </c>
      <c r="E214" s="42" t="s">
        <v>160</v>
      </c>
      <c r="F214" s="42" t="s">
        <v>160</v>
      </c>
      <c r="G214" s="42" t="s">
        <v>141</v>
      </c>
      <c r="H214" s="42" t="s">
        <v>146</v>
      </c>
      <c r="I214" s="42">
        <v>8</v>
      </c>
      <c r="J214" s="46" t="s">
        <v>222</v>
      </c>
      <c r="K214" s="42" t="s">
        <v>210</v>
      </c>
      <c r="L214" s="42" t="s">
        <v>210</v>
      </c>
      <c r="M214" s="44" t="s">
        <v>437</v>
      </c>
    </row>
    <row r="215" spans="1:13" x14ac:dyDescent="0.35">
      <c r="A215" s="42">
        <v>832</v>
      </c>
      <c r="B215" s="42" t="s">
        <v>175</v>
      </c>
      <c r="C215" s="42" t="s">
        <v>137</v>
      </c>
      <c r="D215" s="42" t="s">
        <v>159</v>
      </c>
      <c r="E215" s="42" t="s">
        <v>160</v>
      </c>
      <c r="F215" s="42" t="s">
        <v>160</v>
      </c>
      <c r="G215" s="42" t="s">
        <v>141</v>
      </c>
      <c r="H215" s="42" t="s">
        <v>150</v>
      </c>
      <c r="I215" s="42"/>
      <c r="J215" s="45" t="s">
        <v>147</v>
      </c>
      <c r="K215" s="42" t="s">
        <v>190</v>
      </c>
      <c r="L215" s="42" t="s">
        <v>190</v>
      </c>
      <c r="M215" s="44" t="s">
        <v>438</v>
      </c>
    </row>
    <row r="216" spans="1:13" x14ac:dyDescent="0.35">
      <c r="A216" s="42">
        <v>832</v>
      </c>
      <c r="B216" s="42" t="s">
        <v>175</v>
      </c>
      <c r="C216" s="42" t="s">
        <v>137</v>
      </c>
      <c r="D216" s="42" t="s">
        <v>159</v>
      </c>
      <c r="E216" s="42" t="s">
        <v>160</v>
      </c>
      <c r="F216" s="42" t="s">
        <v>160</v>
      </c>
      <c r="G216" s="42" t="s">
        <v>141</v>
      </c>
      <c r="H216" s="42" t="s">
        <v>150</v>
      </c>
      <c r="I216" s="42"/>
      <c r="J216" s="45" t="s">
        <v>147</v>
      </c>
      <c r="K216" s="42" t="s">
        <v>144</v>
      </c>
      <c r="L216" s="42" t="s">
        <v>144</v>
      </c>
      <c r="M216" s="44" t="s">
        <v>439</v>
      </c>
    </row>
    <row r="217" spans="1:13" x14ac:dyDescent="0.35">
      <c r="A217" s="42">
        <v>832</v>
      </c>
      <c r="B217" s="42" t="s">
        <v>175</v>
      </c>
      <c r="C217" s="42" t="s">
        <v>137</v>
      </c>
      <c r="D217" s="42" t="s">
        <v>159</v>
      </c>
      <c r="E217" s="42" t="s">
        <v>160</v>
      </c>
      <c r="F217" s="42" t="s">
        <v>160</v>
      </c>
      <c r="G217" s="42" t="s">
        <v>141</v>
      </c>
      <c r="H217" s="42" t="s">
        <v>150</v>
      </c>
      <c r="I217" s="42"/>
      <c r="J217" s="45" t="s">
        <v>147</v>
      </c>
      <c r="K217" s="42" t="s">
        <v>181</v>
      </c>
      <c r="L217" s="42" t="s">
        <v>181</v>
      </c>
      <c r="M217" s="44" t="s">
        <v>300</v>
      </c>
    </row>
    <row r="218" spans="1:13" x14ac:dyDescent="0.35">
      <c r="A218" s="42">
        <v>832</v>
      </c>
      <c r="B218" s="42" t="s">
        <v>175</v>
      </c>
      <c r="C218" s="42" t="s">
        <v>137</v>
      </c>
      <c r="D218" s="42" t="s">
        <v>159</v>
      </c>
      <c r="E218" s="42" t="s">
        <v>160</v>
      </c>
      <c r="F218" s="42" t="s">
        <v>160</v>
      </c>
      <c r="G218" s="42" t="s">
        <v>141</v>
      </c>
      <c r="H218" s="42" t="s">
        <v>156</v>
      </c>
      <c r="I218" s="42"/>
      <c r="J218" s="43" t="s">
        <v>143</v>
      </c>
      <c r="K218" s="42" t="s">
        <v>53</v>
      </c>
      <c r="L218" s="42" t="s">
        <v>440</v>
      </c>
      <c r="M218" s="44" t="s">
        <v>441</v>
      </c>
    </row>
    <row r="219" spans="1:13" x14ac:dyDescent="0.35">
      <c r="A219" s="42">
        <v>832</v>
      </c>
      <c r="B219" s="42" t="s">
        <v>175</v>
      </c>
      <c r="C219" s="42" t="s">
        <v>137</v>
      </c>
      <c r="D219" s="42" t="s">
        <v>159</v>
      </c>
      <c r="E219" s="42" t="s">
        <v>160</v>
      </c>
      <c r="F219" s="42" t="s">
        <v>160</v>
      </c>
      <c r="G219" s="42" t="s">
        <v>141</v>
      </c>
      <c r="H219" s="42" t="s">
        <v>156</v>
      </c>
      <c r="I219" s="42"/>
      <c r="J219" s="43" t="s">
        <v>143</v>
      </c>
      <c r="K219" s="42" t="s">
        <v>190</v>
      </c>
      <c r="L219" s="42" t="s">
        <v>190</v>
      </c>
      <c r="M219" s="44" t="s">
        <v>442</v>
      </c>
    </row>
    <row r="220" spans="1:13" x14ac:dyDescent="0.35">
      <c r="A220" s="42">
        <v>832</v>
      </c>
      <c r="B220" s="42" t="s">
        <v>175</v>
      </c>
      <c r="C220" s="42" t="s">
        <v>137</v>
      </c>
      <c r="D220" s="42" t="s">
        <v>159</v>
      </c>
      <c r="E220" s="42" t="s">
        <v>160</v>
      </c>
      <c r="F220" s="42" t="s">
        <v>160</v>
      </c>
      <c r="G220" s="42" t="s">
        <v>141</v>
      </c>
      <c r="H220" s="42" t="s">
        <v>156</v>
      </c>
      <c r="I220" s="42"/>
      <c r="J220" s="43" t="s">
        <v>143</v>
      </c>
      <c r="K220" s="42" t="s">
        <v>50</v>
      </c>
      <c r="L220" s="42" t="s">
        <v>171</v>
      </c>
      <c r="M220" s="44" t="s">
        <v>443</v>
      </c>
    </row>
    <row r="221" spans="1:13" ht="25" x14ac:dyDescent="0.35">
      <c r="A221" s="42">
        <v>949</v>
      </c>
      <c r="B221" s="42" t="s">
        <v>136</v>
      </c>
      <c r="C221" s="42" t="s">
        <v>137</v>
      </c>
      <c r="D221" s="42" t="s">
        <v>159</v>
      </c>
      <c r="E221" s="42" t="s">
        <v>160</v>
      </c>
      <c r="F221" s="42" t="s">
        <v>160</v>
      </c>
      <c r="G221" s="42" t="s">
        <v>141</v>
      </c>
      <c r="H221" s="42" t="s">
        <v>146</v>
      </c>
      <c r="I221" s="42">
        <v>8</v>
      </c>
      <c r="J221" s="46" t="s">
        <v>222</v>
      </c>
      <c r="K221" s="42" t="s">
        <v>144</v>
      </c>
      <c r="L221" s="42" t="s">
        <v>444</v>
      </c>
      <c r="M221" s="44" t="s">
        <v>445</v>
      </c>
    </row>
    <row r="222" spans="1:13" x14ac:dyDescent="0.35">
      <c r="A222" s="42">
        <v>949</v>
      </c>
      <c r="B222" s="42" t="s">
        <v>136</v>
      </c>
      <c r="C222" s="42" t="s">
        <v>137</v>
      </c>
      <c r="D222" s="42" t="s">
        <v>159</v>
      </c>
      <c r="E222" s="42" t="s">
        <v>160</v>
      </c>
      <c r="F222" s="42" t="s">
        <v>160</v>
      </c>
      <c r="G222" s="42" t="s">
        <v>141</v>
      </c>
      <c r="H222" s="42" t="s">
        <v>150</v>
      </c>
      <c r="I222" s="42"/>
      <c r="J222" s="45" t="s">
        <v>147</v>
      </c>
      <c r="K222" s="42" t="s">
        <v>76</v>
      </c>
      <c r="L222" s="42" t="s">
        <v>446</v>
      </c>
      <c r="M222" s="44" t="s">
        <v>447</v>
      </c>
    </row>
    <row r="223" spans="1:13" x14ac:dyDescent="0.35">
      <c r="A223" s="42">
        <v>949</v>
      </c>
      <c r="B223" s="42" t="s">
        <v>136</v>
      </c>
      <c r="C223" s="42" t="s">
        <v>137</v>
      </c>
      <c r="D223" s="42" t="s">
        <v>159</v>
      </c>
      <c r="E223" s="42" t="s">
        <v>160</v>
      </c>
      <c r="F223" s="42" t="s">
        <v>160</v>
      </c>
      <c r="G223" s="42" t="s">
        <v>141</v>
      </c>
      <c r="H223" s="42" t="s">
        <v>150</v>
      </c>
      <c r="I223" s="42"/>
      <c r="J223" s="45" t="s">
        <v>147</v>
      </c>
      <c r="K223" s="42" t="s">
        <v>144</v>
      </c>
      <c r="L223" s="42" t="s">
        <v>250</v>
      </c>
      <c r="M223" s="44" t="s">
        <v>448</v>
      </c>
    </row>
    <row r="224" spans="1:13" x14ac:dyDescent="0.35">
      <c r="A224" s="42">
        <v>949</v>
      </c>
      <c r="B224" s="42" t="s">
        <v>136</v>
      </c>
      <c r="C224" s="42" t="s">
        <v>137</v>
      </c>
      <c r="D224" s="42" t="s">
        <v>159</v>
      </c>
      <c r="E224" s="42" t="s">
        <v>160</v>
      </c>
      <c r="F224" s="42" t="s">
        <v>160</v>
      </c>
      <c r="G224" s="42" t="s">
        <v>141</v>
      </c>
      <c r="H224" s="42" t="s">
        <v>150</v>
      </c>
      <c r="I224" s="42"/>
      <c r="J224" s="45" t="s">
        <v>147</v>
      </c>
      <c r="K224" s="42" t="s">
        <v>268</v>
      </c>
      <c r="L224" s="42" t="s">
        <v>268</v>
      </c>
      <c r="M224" s="44" t="s">
        <v>449</v>
      </c>
    </row>
    <row r="225" spans="1:13" x14ac:dyDescent="0.35">
      <c r="A225" s="42">
        <v>949</v>
      </c>
      <c r="B225" s="42" t="s">
        <v>136</v>
      </c>
      <c r="C225" s="42" t="s">
        <v>137</v>
      </c>
      <c r="D225" s="42" t="s">
        <v>159</v>
      </c>
      <c r="E225" s="42" t="s">
        <v>160</v>
      </c>
      <c r="F225" s="42" t="s">
        <v>160</v>
      </c>
      <c r="G225" s="42" t="s">
        <v>141</v>
      </c>
      <c r="H225" s="42" t="s">
        <v>156</v>
      </c>
      <c r="I225" s="42"/>
      <c r="J225" s="43" t="s">
        <v>143</v>
      </c>
      <c r="K225" s="42" t="s">
        <v>196</v>
      </c>
      <c r="L225" s="42" t="s">
        <v>450</v>
      </c>
      <c r="M225" s="44" t="s">
        <v>451</v>
      </c>
    </row>
    <row r="226" spans="1:13" x14ac:dyDescent="0.35">
      <c r="A226" s="42">
        <v>949</v>
      </c>
      <c r="B226" s="42" t="s">
        <v>136</v>
      </c>
      <c r="C226" s="42" t="s">
        <v>137</v>
      </c>
      <c r="D226" s="42" t="s">
        <v>159</v>
      </c>
      <c r="E226" s="42" t="s">
        <v>160</v>
      </c>
      <c r="F226" s="42" t="s">
        <v>160</v>
      </c>
      <c r="G226" s="42" t="s">
        <v>141</v>
      </c>
      <c r="H226" s="42" t="s">
        <v>156</v>
      </c>
      <c r="I226" s="42"/>
      <c r="J226" s="43" t="s">
        <v>143</v>
      </c>
      <c r="K226" s="42" t="s">
        <v>196</v>
      </c>
      <c r="L226" s="42" t="s">
        <v>217</v>
      </c>
      <c r="M226" s="44" t="s">
        <v>452</v>
      </c>
    </row>
    <row r="227" spans="1:13" ht="25" x14ac:dyDescent="0.35">
      <c r="A227" s="42">
        <v>975</v>
      </c>
      <c r="B227" s="42" t="s">
        <v>136</v>
      </c>
      <c r="C227" s="42" t="s">
        <v>137</v>
      </c>
      <c r="D227" s="42" t="s">
        <v>159</v>
      </c>
      <c r="E227" s="42" t="s">
        <v>160</v>
      </c>
      <c r="F227" s="42" t="s">
        <v>160</v>
      </c>
      <c r="G227" s="42" t="s">
        <v>141</v>
      </c>
      <c r="H227" s="42" t="s">
        <v>146</v>
      </c>
      <c r="I227" s="42">
        <v>8</v>
      </c>
      <c r="J227" s="46" t="s">
        <v>222</v>
      </c>
      <c r="K227" s="42" t="s">
        <v>144</v>
      </c>
      <c r="L227" s="42" t="s">
        <v>173</v>
      </c>
      <c r="M227" s="44" t="s">
        <v>453</v>
      </c>
    </row>
    <row r="228" spans="1:13" x14ac:dyDescent="0.35">
      <c r="A228" s="42">
        <v>975</v>
      </c>
      <c r="B228" s="42" t="s">
        <v>136</v>
      </c>
      <c r="C228" s="42" t="s">
        <v>137</v>
      </c>
      <c r="D228" s="42" t="s">
        <v>159</v>
      </c>
      <c r="E228" s="42" t="s">
        <v>160</v>
      </c>
      <c r="F228" s="42" t="s">
        <v>160</v>
      </c>
      <c r="G228" s="42" t="s">
        <v>141</v>
      </c>
      <c r="H228" s="42" t="s">
        <v>150</v>
      </c>
      <c r="I228" s="42"/>
      <c r="J228" s="45" t="s">
        <v>147</v>
      </c>
      <c r="K228" s="42" t="s">
        <v>144</v>
      </c>
      <c r="L228" s="42" t="s">
        <v>144</v>
      </c>
      <c r="M228" s="44" t="s">
        <v>454</v>
      </c>
    </row>
    <row r="229" spans="1:13" x14ac:dyDescent="0.35">
      <c r="A229" s="42">
        <v>975</v>
      </c>
      <c r="B229" s="42" t="s">
        <v>136</v>
      </c>
      <c r="C229" s="42" t="s">
        <v>137</v>
      </c>
      <c r="D229" s="42" t="s">
        <v>159</v>
      </c>
      <c r="E229" s="42" t="s">
        <v>160</v>
      </c>
      <c r="F229" s="42" t="s">
        <v>160</v>
      </c>
      <c r="G229" s="42" t="s">
        <v>141</v>
      </c>
      <c r="H229" s="42" t="s">
        <v>150</v>
      </c>
      <c r="I229" s="42"/>
      <c r="J229" s="45" t="s">
        <v>147</v>
      </c>
      <c r="K229" s="42" t="s">
        <v>78</v>
      </c>
      <c r="L229" s="42" t="s">
        <v>78</v>
      </c>
      <c r="M229" s="44" t="s">
        <v>455</v>
      </c>
    </row>
    <row r="230" spans="1:13" x14ac:dyDescent="0.35">
      <c r="A230" s="42">
        <v>975</v>
      </c>
      <c r="B230" s="42" t="s">
        <v>136</v>
      </c>
      <c r="C230" s="42" t="s">
        <v>137</v>
      </c>
      <c r="D230" s="42" t="s">
        <v>159</v>
      </c>
      <c r="E230" s="42" t="s">
        <v>160</v>
      </c>
      <c r="F230" s="42" t="s">
        <v>160</v>
      </c>
      <c r="G230" s="42" t="s">
        <v>141</v>
      </c>
      <c r="H230" s="42" t="s">
        <v>150</v>
      </c>
      <c r="I230" s="42"/>
      <c r="J230" s="45" t="s">
        <v>147</v>
      </c>
      <c r="K230" s="42" t="s">
        <v>190</v>
      </c>
      <c r="L230" s="42" t="s">
        <v>190</v>
      </c>
      <c r="M230" s="44" t="s">
        <v>456</v>
      </c>
    </row>
    <row r="231" spans="1:13" x14ac:dyDescent="0.35">
      <c r="A231" s="42">
        <v>975</v>
      </c>
      <c r="B231" s="42" t="s">
        <v>136</v>
      </c>
      <c r="C231" s="42" t="s">
        <v>137</v>
      </c>
      <c r="D231" s="42" t="s">
        <v>159</v>
      </c>
      <c r="E231" s="42" t="s">
        <v>160</v>
      </c>
      <c r="F231" s="42" t="s">
        <v>160</v>
      </c>
      <c r="G231" s="42" t="s">
        <v>141</v>
      </c>
      <c r="H231" s="42" t="s">
        <v>156</v>
      </c>
      <c r="I231" s="42"/>
      <c r="J231" s="43" t="s">
        <v>143</v>
      </c>
      <c r="K231" s="42" t="s">
        <v>84</v>
      </c>
      <c r="L231" s="42" t="s">
        <v>401</v>
      </c>
      <c r="M231" s="44" t="s">
        <v>457</v>
      </c>
    </row>
    <row r="232" spans="1:13" x14ac:dyDescent="0.35">
      <c r="A232" s="42">
        <v>975</v>
      </c>
      <c r="B232" s="42" t="s">
        <v>136</v>
      </c>
      <c r="C232" s="42" t="s">
        <v>137</v>
      </c>
      <c r="D232" s="42" t="s">
        <v>159</v>
      </c>
      <c r="E232" s="42" t="s">
        <v>160</v>
      </c>
      <c r="F232" s="42" t="s">
        <v>160</v>
      </c>
      <c r="G232" s="42" t="s">
        <v>141</v>
      </c>
      <c r="H232" s="42" t="s">
        <v>156</v>
      </c>
      <c r="I232" s="42"/>
      <c r="J232" s="43" t="s">
        <v>143</v>
      </c>
      <c r="K232" s="42" t="s">
        <v>78</v>
      </c>
      <c r="L232" s="42" t="s">
        <v>78</v>
      </c>
      <c r="M232" s="44" t="s">
        <v>458</v>
      </c>
    </row>
    <row r="233" spans="1:13" x14ac:dyDescent="0.35">
      <c r="A233" s="42">
        <v>975</v>
      </c>
      <c r="B233" s="42" t="s">
        <v>136</v>
      </c>
      <c r="C233" s="42" t="s">
        <v>137</v>
      </c>
      <c r="D233" s="42" t="s">
        <v>159</v>
      </c>
      <c r="E233" s="42" t="s">
        <v>160</v>
      </c>
      <c r="F233" s="42" t="s">
        <v>160</v>
      </c>
      <c r="G233" s="42" t="s">
        <v>141</v>
      </c>
      <c r="H233" s="42" t="s">
        <v>156</v>
      </c>
      <c r="I233" s="42"/>
      <c r="J233" s="43" t="s">
        <v>143</v>
      </c>
      <c r="K233" s="42" t="s">
        <v>196</v>
      </c>
      <c r="L233" s="42" t="s">
        <v>196</v>
      </c>
      <c r="M233" s="44" t="s">
        <v>459</v>
      </c>
    </row>
    <row r="234" spans="1:13" x14ac:dyDescent="0.35">
      <c r="A234" s="42">
        <v>1012</v>
      </c>
      <c r="B234" s="42" t="s">
        <v>175</v>
      </c>
      <c r="C234" s="42" t="s">
        <v>199</v>
      </c>
      <c r="D234" s="42" t="s">
        <v>176</v>
      </c>
      <c r="E234" s="42" t="s">
        <v>160</v>
      </c>
      <c r="F234" s="42" t="s">
        <v>160</v>
      </c>
      <c r="G234" s="42" t="s">
        <v>200</v>
      </c>
      <c r="H234" s="42" t="s">
        <v>146</v>
      </c>
      <c r="I234" s="42">
        <v>8</v>
      </c>
      <c r="J234" s="46" t="s">
        <v>222</v>
      </c>
      <c r="K234" s="42" t="s">
        <v>82</v>
      </c>
      <c r="L234" s="42" t="s">
        <v>254</v>
      </c>
      <c r="M234" s="44" t="s">
        <v>460</v>
      </c>
    </row>
    <row r="235" spans="1:13" x14ac:dyDescent="0.35">
      <c r="A235" s="42">
        <v>1012</v>
      </c>
      <c r="B235" s="42" t="s">
        <v>175</v>
      </c>
      <c r="C235" s="42" t="s">
        <v>199</v>
      </c>
      <c r="D235" s="42" t="s">
        <v>176</v>
      </c>
      <c r="E235" s="42" t="s">
        <v>160</v>
      </c>
      <c r="F235" s="42" t="s">
        <v>160</v>
      </c>
      <c r="G235" s="42" t="s">
        <v>200</v>
      </c>
      <c r="H235" s="42" t="s">
        <v>150</v>
      </c>
      <c r="I235" s="42"/>
      <c r="J235" s="45" t="s">
        <v>147</v>
      </c>
      <c r="K235" s="42" t="s">
        <v>144</v>
      </c>
      <c r="L235" s="42" t="s">
        <v>144</v>
      </c>
      <c r="M235" s="44" t="s">
        <v>461</v>
      </c>
    </row>
    <row r="236" spans="1:13" x14ac:dyDescent="0.35">
      <c r="A236" s="42">
        <v>1012</v>
      </c>
      <c r="B236" s="42" t="s">
        <v>175</v>
      </c>
      <c r="C236" s="42" t="s">
        <v>199</v>
      </c>
      <c r="D236" s="42" t="s">
        <v>176</v>
      </c>
      <c r="E236" s="42" t="s">
        <v>160</v>
      </c>
      <c r="F236" s="42" t="s">
        <v>160</v>
      </c>
      <c r="G236" s="42" t="s">
        <v>200</v>
      </c>
      <c r="H236" s="42" t="s">
        <v>150</v>
      </c>
      <c r="I236" s="42"/>
      <c r="J236" s="45" t="s">
        <v>147</v>
      </c>
      <c r="K236" s="42" t="s">
        <v>210</v>
      </c>
      <c r="L236" s="42" t="s">
        <v>210</v>
      </c>
      <c r="M236" s="44" t="s">
        <v>462</v>
      </c>
    </row>
    <row r="237" spans="1:13" x14ac:dyDescent="0.35">
      <c r="A237" s="42">
        <v>1012</v>
      </c>
      <c r="B237" s="42" t="s">
        <v>175</v>
      </c>
      <c r="C237" s="42" t="s">
        <v>199</v>
      </c>
      <c r="D237" s="42" t="s">
        <v>176</v>
      </c>
      <c r="E237" s="42" t="s">
        <v>160</v>
      </c>
      <c r="F237" s="42" t="s">
        <v>160</v>
      </c>
      <c r="G237" s="42" t="s">
        <v>200</v>
      </c>
      <c r="H237" s="42" t="s">
        <v>150</v>
      </c>
      <c r="I237" s="42"/>
      <c r="J237" s="45" t="s">
        <v>147</v>
      </c>
      <c r="K237" s="42" t="s">
        <v>78</v>
      </c>
      <c r="L237" s="42" t="s">
        <v>78</v>
      </c>
      <c r="M237" s="44" t="s">
        <v>463</v>
      </c>
    </row>
    <row r="238" spans="1:13" x14ac:dyDescent="0.35">
      <c r="A238" s="42">
        <v>1012</v>
      </c>
      <c r="B238" s="42" t="s">
        <v>175</v>
      </c>
      <c r="C238" s="42" t="s">
        <v>199</v>
      </c>
      <c r="D238" s="42" t="s">
        <v>176</v>
      </c>
      <c r="E238" s="42" t="s">
        <v>160</v>
      </c>
      <c r="F238" s="42" t="s">
        <v>160</v>
      </c>
      <c r="G238" s="42" t="s">
        <v>200</v>
      </c>
      <c r="H238" s="42" t="s">
        <v>156</v>
      </c>
      <c r="I238" s="42"/>
      <c r="J238" s="43" t="s">
        <v>143</v>
      </c>
      <c r="K238" s="42" t="s">
        <v>181</v>
      </c>
      <c r="L238" s="42" t="s">
        <v>181</v>
      </c>
      <c r="M238" s="44" t="s">
        <v>464</v>
      </c>
    </row>
    <row r="239" spans="1:13" ht="25" x14ac:dyDescent="0.35">
      <c r="A239" s="42">
        <v>1012</v>
      </c>
      <c r="B239" s="42" t="s">
        <v>175</v>
      </c>
      <c r="C239" s="42" t="s">
        <v>199</v>
      </c>
      <c r="D239" s="42" t="s">
        <v>176</v>
      </c>
      <c r="E239" s="42" t="s">
        <v>160</v>
      </c>
      <c r="F239" s="42" t="s">
        <v>160</v>
      </c>
      <c r="G239" s="42" t="s">
        <v>200</v>
      </c>
      <c r="H239" s="42" t="s">
        <v>156</v>
      </c>
      <c r="I239" s="42"/>
      <c r="J239" s="43" t="s">
        <v>143</v>
      </c>
      <c r="K239" s="42" t="s">
        <v>268</v>
      </c>
      <c r="L239" s="42" t="s">
        <v>268</v>
      </c>
      <c r="M239" s="44" t="s">
        <v>465</v>
      </c>
    </row>
    <row r="240" spans="1:13" ht="25" x14ac:dyDescent="0.35">
      <c r="A240" s="42">
        <v>892</v>
      </c>
      <c r="B240" s="42" t="s">
        <v>136</v>
      </c>
      <c r="C240" s="42" t="s">
        <v>137</v>
      </c>
      <c r="D240" s="42" t="s">
        <v>176</v>
      </c>
      <c r="E240" s="42" t="s">
        <v>139</v>
      </c>
      <c r="F240" s="42" t="s">
        <v>140</v>
      </c>
      <c r="G240" s="42" t="s">
        <v>141</v>
      </c>
      <c r="H240" s="42" t="s">
        <v>166</v>
      </c>
      <c r="I240" s="42">
        <v>5</v>
      </c>
      <c r="J240" s="43" t="s">
        <v>143</v>
      </c>
      <c r="K240" s="42" t="s">
        <v>196</v>
      </c>
      <c r="L240" s="42" t="s">
        <v>217</v>
      </c>
      <c r="M240" s="44" t="s">
        <v>466</v>
      </c>
    </row>
    <row r="241" spans="1:13" ht="37.5" x14ac:dyDescent="0.35">
      <c r="A241" s="42">
        <v>892</v>
      </c>
      <c r="B241" s="42" t="s">
        <v>136</v>
      </c>
      <c r="C241" s="42" t="s">
        <v>137</v>
      </c>
      <c r="D241" s="42" t="s">
        <v>176</v>
      </c>
      <c r="E241" s="42" t="s">
        <v>139</v>
      </c>
      <c r="F241" s="42" t="s">
        <v>140</v>
      </c>
      <c r="G241" s="42" t="s">
        <v>141</v>
      </c>
      <c r="H241" s="42" t="s">
        <v>180</v>
      </c>
      <c r="I241" s="42">
        <v>6</v>
      </c>
      <c r="J241" s="43" t="s">
        <v>143</v>
      </c>
      <c r="K241" s="42" t="s">
        <v>187</v>
      </c>
      <c r="L241" s="42" t="s">
        <v>467</v>
      </c>
      <c r="M241" s="44" t="s">
        <v>468</v>
      </c>
    </row>
    <row r="242" spans="1:13" ht="25" x14ac:dyDescent="0.35">
      <c r="A242" s="42">
        <v>892</v>
      </c>
      <c r="B242" s="42" t="s">
        <v>136</v>
      </c>
      <c r="C242" s="42" t="s">
        <v>137</v>
      </c>
      <c r="D242" s="42" t="s">
        <v>176</v>
      </c>
      <c r="E242" s="42" t="s">
        <v>139</v>
      </c>
      <c r="F242" s="42" t="s">
        <v>140</v>
      </c>
      <c r="G242" s="42" t="s">
        <v>141</v>
      </c>
      <c r="H242" s="42" t="s">
        <v>146</v>
      </c>
      <c r="I242" s="42">
        <v>8</v>
      </c>
      <c r="J242" s="46" t="s">
        <v>222</v>
      </c>
      <c r="K242" s="42" t="s">
        <v>187</v>
      </c>
      <c r="L242" s="42" t="s">
        <v>469</v>
      </c>
      <c r="M242" s="44" t="s">
        <v>470</v>
      </c>
    </row>
    <row r="243" spans="1:13" x14ac:dyDescent="0.35">
      <c r="A243" s="42">
        <v>892</v>
      </c>
      <c r="B243" s="42" t="s">
        <v>136</v>
      </c>
      <c r="C243" s="42" t="s">
        <v>137</v>
      </c>
      <c r="D243" s="42" t="s">
        <v>176</v>
      </c>
      <c r="E243" s="42" t="s">
        <v>139</v>
      </c>
      <c r="F243" s="42" t="s">
        <v>140</v>
      </c>
      <c r="G243" s="42" t="s">
        <v>141</v>
      </c>
      <c r="H243" s="42" t="s">
        <v>150</v>
      </c>
      <c r="I243" s="42"/>
      <c r="J243" s="45" t="s">
        <v>147</v>
      </c>
      <c r="K243" s="42" t="s">
        <v>210</v>
      </c>
      <c r="L243" s="42" t="s">
        <v>210</v>
      </c>
      <c r="M243" s="44" t="s">
        <v>471</v>
      </c>
    </row>
    <row r="244" spans="1:13" x14ac:dyDescent="0.35">
      <c r="A244" s="42">
        <v>892</v>
      </c>
      <c r="B244" s="42" t="s">
        <v>136</v>
      </c>
      <c r="C244" s="42" t="s">
        <v>137</v>
      </c>
      <c r="D244" s="42" t="s">
        <v>176</v>
      </c>
      <c r="E244" s="42" t="s">
        <v>139</v>
      </c>
      <c r="F244" s="42" t="s">
        <v>140</v>
      </c>
      <c r="G244" s="42" t="s">
        <v>141</v>
      </c>
      <c r="H244" s="42" t="s">
        <v>150</v>
      </c>
      <c r="I244" s="42"/>
      <c r="J244" s="45" t="s">
        <v>147</v>
      </c>
      <c r="K244" s="42" t="s">
        <v>144</v>
      </c>
      <c r="L244" s="42" t="s">
        <v>148</v>
      </c>
      <c r="M244" s="44" t="s">
        <v>472</v>
      </c>
    </row>
    <row r="245" spans="1:13" x14ac:dyDescent="0.35">
      <c r="A245" s="42">
        <v>892</v>
      </c>
      <c r="B245" s="42" t="s">
        <v>136</v>
      </c>
      <c r="C245" s="42" t="s">
        <v>137</v>
      </c>
      <c r="D245" s="42" t="s">
        <v>176</v>
      </c>
      <c r="E245" s="42" t="s">
        <v>139</v>
      </c>
      <c r="F245" s="42" t="s">
        <v>140</v>
      </c>
      <c r="G245" s="42" t="s">
        <v>141</v>
      </c>
      <c r="H245" s="42" t="s">
        <v>150</v>
      </c>
      <c r="I245" s="42"/>
      <c r="J245" s="45" t="s">
        <v>147</v>
      </c>
      <c r="K245" s="42" t="s">
        <v>76</v>
      </c>
      <c r="L245" s="42" t="s">
        <v>446</v>
      </c>
      <c r="M245" s="44" t="s">
        <v>473</v>
      </c>
    </row>
    <row r="246" spans="1:13" x14ac:dyDescent="0.35">
      <c r="A246" s="42">
        <v>892</v>
      </c>
      <c r="B246" s="42" t="s">
        <v>136</v>
      </c>
      <c r="C246" s="42" t="s">
        <v>137</v>
      </c>
      <c r="D246" s="42" t="s">
        <v>176</v>
      </c>
      <c r="E246" s="42" t="s">
        <v>139</v>
      </c>
      <c r="F246" s="42" t="s">
        <v>140</v>
      </c>
      <c r="G246" s="42" t="s">
        <v>141</v>
      </c>
      <c r="H246" s="42" t="s">
        <v>156</v>
      </c>
      <c r="I246" s="42"/>
      <c r="J246" s="43" t="s">
        <v>143</v>
      </c>
      <c r="K246" s="42" t="s">
        <v>78</v>
      </c>
      <c r="L246" s="42" t="s">
        <v>335</v>
      </c>
      <c r="M246" s="44" t="s">
        <v>474</v>
      </c>
    </row>
    <row r="247" spans="1:13" x14ac:dyDescent="0.35">
      <c r="A247" s="42">
        <v>892</v>
      </c>
      <c r="B247" s="42" t="s">
        <v>136</v>
      </c>
      <c r="C247" s="42" t="s">
        <v>137</v>
      </c>
      <c r="D247" s="42" t="s">
        <v>176</v>
      </c>
      <c r="E247" s="42" t="s">
        <v>139</v>
      </c>
      <c r="F247" s="42" t="s">
        <v>140</v>
      </c>
      <c r="G247" s="42" t="s">
        <v>141</v>
      </c>
      <c r="H247" s="42" t="s">
        <v>156</v>
      </c>
      <c r="I247" s="42"/>
      <c r="J247" s="43" t="s">
        <v>143</v>
      </c>
      <c r="K247" s="42" t="s">
        <v>196</v>
      </c>
      <c r="L247" s="42" t="s">
        <v>196</v>
      </c>
      <c r="M247" s="44" t="s">
        <v>475</v>
      </c>
    </row>
    <row r="248" spans="1:13" x14ac:dyDescent="0.35">
      <c r="A248" s="42">
        <v>897</v>
      </c>
      <c r="B248" s="42" t="s">
        <v>136</v>
      </c>
      <c r="C248" s="42" t="s">
        <v>137</v>
      </c>
      <c r="D248" s="42" t="s">
        <v>219</v>
      </c>
      <c r="E248" s="42" t="s">
        <v>139</v>
      </c>
      <c r="F248" s="42" t="s">
        <v>140</v>
      </c>
      <c r="G248" s="42" t="s">
        <v>141</v>
      </c>
      <c r="H248" s="42" t="s">
        <v>163</v>
      </c>
      <c r="I248" s="42"/>
      <c r="J248" s="45" t="s">
        <v>147</v>
      </c>
      <c r="K248" s="42" t="s">
        <v>184</v>
      </c>
      <c r="L248" s="42" t="s">
        <v>476</v>
      </c>
      <c r="M248" s="44" t="s">
        <v>477</v>
      </c>
    </row>
    <row r="249" spans="1:13" x14ac:dyDescent="0.35">
      <c r="A249" s="42">
        <v>897</v>
      </c>
      <c r="B249" s="42" t="s">
        <v>136</v>
      </c>
      <c r="C249" s="42" t="s">
        <v>137</v>
      </c>
      <c r="D249" s="42" t="s">
        <v>219</v>
      </c>
      <c r="E249" s="42" t="s">
        <v>139</v>
      </c>
      <c r="F249" s="42" t="s">
        <v>140</v>
      </c>
      <c r="G249" s="42" t="s">
        <v>141</v>
      </c>
      <c r="H249" s="42" t="s">
        <v>146</v>
      </c>
      <c r="I249" s="42">
        <v>8</v>
      </c>
      <c r="J249" s="46" t="s">
        <v>222</v>
      </c>
      <c r="K249" s="42" t="s">
        <v>190</v>
      </c>
      <c r="L249" s="42" t="s">
        <v>190</v>
      </c>
      <c r="M249" s="44" t="s">
        <v>478</v>
      </c>
    </row>
    <row r="250" spans="1:13" x14ac:dyDescent="0.35">
      <c r="A250" s="42">
        <v>897</v>
      </c>
      <c r="B250" s="42" t="s">
        <v>136</v>
      </c>
      <c r="C250" s="42" t="s">
        <v>137</v>
      </c>
      <c r="D250" s="42" t="s">
        <v>219</v>
      </c>
      <c r="E250" s="42" t="s">
        <v>139</v>
      </c>
      <c r="F250" s="42" t="s">
        <v>140</v>
      </c>
      <c r="G250" s="42" t="s">
        <v>141</v>
      </c>
      <c r="H250" s="42" t="s">
        <v>150</v>
      </c>
      <c r="I250" s="42"/>
      <c r="J250" s="45" t="s">
        <v>147</v>
      </c>
      <c r="K250" s="42" t="s">
        <v>210</v>
      </c>
      <c r="L250" s="42" t="s">
        <v>210</v>
      </c>
      <c r="M250" s="44" t="s">
        <v>479</v>
      </c>
    </row>
    <row r="251" spans="1:13" x14ac:dyDescent="0.35">
      <c r="A251" s="42">
        <v>897</v>
      </c>
      <c r="B251" s="42" t="s">
        <v>136</v>
      </c>
      <c r="C251" s="42" t="s">
        <v>137</v>
      </c>
      <c r="D251" s="42" t="s">
        <v>219</v>
      </c>
      <c r="E251" s="42" t="s">
        <v>139</v>
      </c>
      <c r="F251" s="42" t="s">
        <v>140</v>
      </c>
      <c r="G251" s="42" t="s">
        <v>141</v>
      </c>
      <c r="H251" s="42" t="s">
        <v>150</v>
      </c>
      <c r="I251" s="42"/>
      <c r="J251" s="45" t="s">
        <v>147</v>
      </c>
      <c r="K251" s="42" t="s">
        <v>184</v>
      </c>
      <c r="L251" s="42" t="s">
        <v>480</v>
      </c>
      <c r="M251" s="44" t="s">
        <v>481</v>
      </c>
    </row>
    <row r="252" spans="1:13" x14ac:dyDescent="0.35">
      <c r="A252" s="42">
        <v>897</v>
      </c>
      <c r="B252" s="42" t="s">
        <v>136</v>
      </c>
      <c r="C252" s="42" t="s">
        <v>137</v>
      </c>
      <c r="D252" s="42" t="s">
        <v>219</v>
      </c>
      <c r="E252" s="42" t="s">
        <v>139</v>
      </c>
      <c r="F252" s="42" t="s">
        <v>140</v>
      </c>
      <c r="G252" s="42" t="s">
        <v>141</v>
      </c>
      <c r="H252" s="42" t="s">
        <v>150</v>
      </c>
      <c r="I252" s="42"/>
      <c r="J252" s="45" t="s">
        <v>147</v>
      </c>
      <c r="K252" s="42" t="s">
        <v>76</v>
      </c>
      <c r="L252" s="42" t="s">
        <v>482</v>
      </c>
      <c r="M252" s="44" t="s">
        <v>483</v>
      </c>
    </row>
    <row r="253" spans="1:13" x14ac:dyDescent="0.35">
      <c r="A253" s="42">
        <v>897</v>
      </c>
      <c r="B253" s="42" t="s">
        <v>136</v>
      </c>
      <c r="C253" s="42" t="s">
        <v>137</v>
      </c>
      <c r="D253" s="42" t="s">
        <v>219</v>
      </c>
      <c r="E253" s="42" t="s">
        <v>139</v>
      </c>
      <c r="F253" s="42" t="s">
        <v>140</v>
      </c>
      <c r="G253" s="42" t="s">
        <v>141</v>
      </c>
      <c r="H253" s="42" t="s">
        <v>156</v>
      </c>
      <c r="I253" s="42"/>
      <c r="J253" s="43" t="s">
        <v>143</v>
      </c>
      <c r="K253" s="42" t="s">
        <v>484</v>
      </c>
      <c r="L253" s="42" t="s">
        <v>484</v>
      </c>
      <c r="M253" s="44" t="s">
        <v>485</v>
      </c>
    </row>
    <row r="254" spans="1:13" x14ac:dyDescent="0.35">
      <c r="A254" s="42">
        <v>897</v>
      </c>
      <c r="B254" s="42" t="s">
        <v>136</v>
      </c>
      <c r="C254" s="42" t="s">
        <v>137</v>
      </c>
      <c r="D254" s="42" t="s">
        <v>219</v>
      </c>
      <c r="E254" s="42" t="s">
        <v>139</v>
      </c>
      <c r="F254" s="42" t="s">
        <v>140</v>
      </c>
      <c r="G254" s="42" t="s">
        <v>141</v>
      </c>
      <c r="H254" s="42" t="s">
        <v>156</v>
      </c>
      <c r="I254" s="42"/>
      <c r="J254" s="43" t="s">
        <v>143</v>
      </c>
      <c r="K254" s="42" t="s">
        <v>210</v>
      </c>
      <c r="L254" s="42" t="s">
        <v>210</v>
      </c>
      <c r="M254" s="44" t="s">
        <v>486</v>
      </c>
    </row>
    <row r="255" spans="1:13" x14ac:dyDescent="0.35">
      <c r="A255" s="42">
        <v>1013</v>
      </c>
      <c r="B255" s="42" t="s">
        <v>175</v>
      </c>
      <c r="C255" s="42" t="s">
        <v>199</v>
      </c>
      <c r="D255" s="42" t="s">
        <v>159</v>
      </c>
      <c r="E255" s="42" t="s">
        <v>160</v>
      </c>
      <c r="F255" s="42" t="s">
        <v>160</v>
      </c>
      <c r="G255" s="42" t="s">
        <v>141</v>
      </c>
      <c r="H255" s="42" t="s">
        <v>146</v>
      </c>
      <c r="I255" s="42">
        <v>8</v>
      </c>
      <c r="J255" s="46" t="s">
        <v>222</v>
      </c>
      <c r="K255" s="42" t="s">
        <v>78</v>
      </c>
      <c r="L255" s="42" t="s">
        <v>335</v>
      </c>
      <c r="M255" s="44" t="s">
        <v>487</v>
      </c>
    </row>
    <row r="256" spans="1:13" x14ac:dyDescent="0.35">
      <c r="A256" s="42">
        <v>1013</v>
      </c>
      <c r="B256" s="42" t="s">
        <v>175</v>
      </c>
      <c r="C256" s="42" t="s">
        <v>199</v>
      </c>
      <c r="D256" s="42" t="s">
        <v>159</v>
      </c>
      <c r="E256" s="42" t="s">
        <v>160</v>
      </c>
      <c r="F256" s="42" t="s">
        <v>160</v>
      </c>
      <c r="G256" s="42" t="s">
        <v>141</v>
      </c>
      <c r="H256" s="42" t="s">
        <v>150</v>
      </c>
      <c r="I256" s="42"/>
      <c r="J256" s="45" t="s">
        <v>147</v>
      </c>
      <c r="K256" s="42" t="s">
        <v>190</v>
      </c>
      <c r="L256" s="42" t="s">
        <v>190</v>
      </c>
      <c r="M256" s="44" t="s">
        <v>488</v>
      </c>
    </row>
    <row r="257" spans="1:13" x14ac:dyDescent="0.35">
      <c r="A257" s="42">
        <v>1013</v>
      </c>
      <c r="B257" s="42" t="s">
        <v>175</v>
      </c>
      <c r="C257" s="42" t="s">
        <v>199</v>
      </c>
      <c r="D257" s="42" t="s">
        <v>159</v>
      </c>
      <c r="E257" s="42" t="s">
        <v>160</v>
      </c>
      <c r="F257" s="42" t="s">
        <v>160</v>
      </c>
      <c r="G257" s="42" t="s">
        <v>141</v>
      </c>
      <c r="H257" s="42" t="s">
        <v>150</v>
      </c>
      <c r="I257" s="42"/>
      <c r="J257" s="45" t="s">
        <v>147</v>
      </c>
      <c r="K257" s="42" t="s">
        <v>210</v>
      </c>
      <c r="L257" s="42" t="s">
        <v>210</v>
      </c>
      <c r="M257" s="44" t="s">
        <v>489</v>
      </c>
    </row>
    <row r="258" spans="1:13" x14ac:dyDescent="0.35">
      <c r="A258" s="42">
        <v>1013</v>
      </c>
      <c r="B258" s="42" t="s">
        <v>175</v>
      </c>
      <c r="C258" s="42" t="s">
        <v>199</v>
      </c>
      <c r="D258" s="42" t="s">
        <v>159</v>
      </c>
      <c r="E258" s="42" t="s">
        <v>160</v>
      </c>
      <c r="F258" s="42" t="s">
        <v>160</v>
      </c>
      <c r="G258" s="42" t="s">
        <v>141</v>
      </c>
      <c r="H258" s="42" t="s">
        <v>156</v>
      </c>
      <c r="I258" s="42"/>
      <c r="J258" s="43" t="s">
        <v>143</v>
      </c>
      <c r="K258" s="42" t="s">
        <v>78</v>
      </c>
      <c r="L258" s="42" t="s">
        <v>78</v>
      </c>
      <c r="M258" s="44" t="s">
        <v>490</v>
      </c>
    </row>
    <row r="259" spans="1:13" ht="50" x14ac:dyDescent="0.35">
      <c r="A259" s="42">
        <v>907</v>
      </c>
      <c r="B259" s="42" t="s">
        <v>136</v>
      </c>
      <c r="C259" s="42" t="s">
        <v>137</v>
      </c>
      <c r="D259" s="42" t="s">
        <v>159</v>
      </c>
      <c r="E259" s="42" t="s">
        <v>139</v>
      </c>
      <c r="F259" s="42" t="s">
        <v>140</v>
      </c>
      <c r="G259" s="42" t="s">
        <v>141</v>
      </c>
      <c r="H259" s="42" t="s">
        <v>166</v>
      </c>
      <c r="I259" s="42">
        <v>6</v>
      </c>
      <c r="J259" s="43" t="s">
        <v>143</v>
      </c>
      <c r="K259" s="42" t="s">
        <v>196</v>
      </c>
      <c r="L259" s="42" t="s">
        <v>491</v>
      </c>
      <c r="M259" s="44" t="s">
        <v>492</v>
      </c>
    </row>
    <row r="260" spans="1:13" ht="37.5" x14ac:dyDescent="0.35">
      <c r="A260" s="42">
        <v>907</v>
      </c>
      <c r="B260" s="42" t="s">
        <v>136</v>
      </c>
      <c r="C260" s="42" t="s">
        <v>137</v>
      </c>
      <c r="D260" s="42" t="s">
        <v>159</v>
      </c>
      <c r="E260" s="42" t="s">
        <v>139</v>
      </c>
      <c r="F260" s="42" t="s">
        <v>140</v>
      </c>
      <c r="G260" s="42" t="s">
        <v>141</v>
      </c>
      <c r="H260" s="42" t="s">
        <v>146</v>
      </c>
      <c r="I260" s="42">
        <v>7</v>
      </c>
      <c r="J260" s="46" t="s">
        <v>222</v>
      </c>
      <c r="K260" s="42" t="s">
        <v>196</v>
      </c>
      <c r="L260" s="42" t="s">
        <v>491</v>
      </c>
      <c r="M260" s="44" t="s">
        <v>493</v>
      </c>
    </row>
    <row r="261" spans="1:13" x14ac:dyDescent="0.35">
      <c r="A261" s="42">
        <v>907</v>
      </c>
      <c r="B261" s="42" t="s">
        <v>136</v>
      </c>
      <c r="C261" s="42" t="s">
        <v>137</v>
      </c>
      <c r="D261" s="42" t="s">
        <v>159</v>
      </c>
      <c r="E261" s="42" t="s">
        <v>139</v>
      </c>
      <c r="F261" s="42" t="s">
        <v>140</v>
      </c>
      <c r="G261" s="42" t="s">
        <v>141</v>
      </c>
      <c r="H261" s="42" t="s">
        <v>150</v>
      </c>
      <c r="I261" s="42"/>
      <c r="J261" s="45" t="s">
        <v>147</v>
      </c>
      <c r="K261" s="42" t="s">
        <v>305</v>
      </c>
      <c r="L261" s="42" t="s">
        <v>494</v>
      </c>
      <c r="M261" s="44" t="s">
        <v>495</v>
      </c>
    </row>
    <row r="262" spans="1:13" x14ac:dyDescent="0.35">
      <c r="A262" s="42">
        <v>907</v>
      </c>
      <c r="B262" s="42" t="s">
        <v>136</v>
      </c>
      <c r="C262" s="42" t="s">
        <v>137</v>
      </c>
      <c r="D262" s="42" t="s">
        <v>159</v>
      </c>
      <c r="E262" s="42" t="s">
        <v>139</v>
      </c>
      <c r="F262" s="42" t="s">
        <v>140</v>
      </c>
      <c r="G262" s="42" t="s">
        <v>141</v>
      </c>
      <c r="H262" s="42" t="s">
        <v>150</v>
      </c>
      <c r="I262" s="42"/>
      <c r="J262" s="45" t="s">
        <v>147</v>
      </c>
      <c r="K262" s="42" t="s">
        <v>196</v>
      </c>
      <c r="L262" s="42" t="s">
        <v>217</v>
      </c>
      <c r="M262" s="44" t="s">
        <v>496</v>
      </c>
    </row>
    <row r="263" spans="1:13" x14ac:dyDescent="0.35">
      <c r="A263" s="42">
        <v>907</v>
      </c>
      <c r="B263" s="42" t="s">
        <v>136</v>
      </c>
      <c r="C263" s="42" t="s">
        <v>137</v>
      </c>
      <c r="D263" s="42" t="s">
        <v>159</v>
      </c>
      <c r="E263" s="42" t="s">
        <v>139</v>
      </c>
      <c r="F263" s="42" t="s">
        <v>140</v>
      </c>
      <c r="G263" s="42" t="s">
        <v>141</v>
      </c>
      <c r="H263" s="42" t="s">
        <v>150</v>
      </c>
      <c r="I263" s="42"/>
      <c r="J263" s="45" t="s">
        <v>147</v>
      </c>
      <c r="K263" s="42" t="s">
        <v>80</v>
      </c>
      <c r="L263" s="42" t="s">
        <v>80</v>
      </c>
      <c r="M263" s="44" t="s">
        <v>497</v>
      </c>
    </row>
    <row r="264" spans="1:13" x14ac:dyDescent="0.35">
      <c r="A264" s="42">
        <v>907</v>
      </c>
      <c r="B264" s="42" t="s">
        <v>136</v>
      </c>
      <c r="C264" s="42" t="s">
        <v>137</v>
      </c>
      <c r="D264" s="42" t="s">
        <v>159</v>
      </c>
      <c r="E264" s="42" t="s">
        <v>139</v>
      </c>
      <c r="F264" s="42" t="s">
        <v>140</v>
      </c>
      <c r="G264" s="42" t="s">
        <v>141</v>
      </c>
      <c r="H264" s="42" t="s">
        <v>156</v>
      </c>
      <c r="I264" s="42"/>
      <c r="J264" s="43" t="s">
        <v>143</v>
      </c>
      <c r="K264" s="42" t="s">
        <v>181</v>
      </c>
      <c r="L264" s="42" t="s">
        <v>498</v>
      </c>
      <c r="M264" s="44" t="s">
        <v>499</v>
      </c>
    </row>
    <row r="265" spans="1:13" x14ac:dyDescent="0.35">
      <c r="A265" s="42">
        <v>907</v>
      </c>
      <c r="B265" s="42" t="s">
        <v>136</v>
      </c>
      <c r="C265" s="42" t="s">
        <v>137</v>
      </c>
      <c r="D265" s="42" t="s">
        <v>159</v>
      </c>
      <c r="E265" s="42" t="s">
        <v>139</v>
      </c>
      <c r="F265" s="42" t="s">
        <v>140</v>
      </c>
      <c r="G265" s="42" t="s">
        <v>141</v>
      </c>
      <c r="H265" s="42" t="s">
        <v>156</v>
      </c>
      <c r="I265" s="42"/>
      <c r="J265" s="43" t="s">
        <v>143</v>
      </c>
      <c r="K265" s="42" t="s">
        <v>196</v>
      </c>
      <c r="L265" s="42" t="s">
        <v>196</v>
      </c>
      <c r="M265" s="44" t="s">
        <v>500</v>
      </c>
    </row>
    <row r="266" spans="1:13" x14ac:dyDescent="0.35">
      <c r="A266" s="42">
        <v>907</v>
      </c>
      <c r="B266" s="42" t="s">
        <v>136</v>
      </c>
      <c r="C266" s="42" t="s">
        <v>137</v>
      </c>
      <c r="D266" s="42" t="s">
        <v>159</v>
      </c>
      <c r="E266" s="42" t="s">
        <v>139</v>
      </c>
      <c r="F266" s="42" t="s">
        <v>140</v>
      </c>
      <c r="G266" s="42" t="s">
        <v>141</v>
      </c>
      <c r="H266" s="42" t="s">
        <v>156</v>
      </c>
      <c r="I266" s="42"/>
      <c r="J266" s="43" t="s">
        <v>143</v>
      </c>
      <c r="K266" s="42" t="s">
        <v>181</v>
      </c>
      <c r="L266" s="42" t="s">
        <v>501</v>
      </c>
      <c r="M266" s="44" t="s">
        <v>502</v>
      </c>
    </row>
    <row r="267" spans="1:13" ht="50" x14ac:dyDescent="0.35">
      <c r="A267" s="42">
        <v>909</v>
      </c>
      <c r="B267" s="42" t="s">
        <v>136</v>
      </c>
      <c r="C267" s="42" t="s">
        <v>199</v>
      </c>
      <c r="D267" s="42" t="s">
        <v>159</v>
      </c>
      <c r="E267" s="42" t="s">
        <v>139</v>
      </c>
      <c r="F267" s="42" t="s">
        <v>140</v>
      </c>
      <c r="G267" s="42" t="s">
        <v>141</v>
      </c>
      <c r="H267" s="42" t="s">
        <v>146</v>
      </c>
      <c r="I267" s="42">
        <v>10</v>
      </c>
      <c r="J267" s="45" t="s">
        <v>147</v>
      </c>
      <c r="K267" s="42" t="s">
        <v>196</v>
      </c>
      <c r="L267" s="42" t="s">
        <v>503</v>
      </c>
      <c r="M267" s="44" t="s">
        <v>504</v>
      </c>
    </row>
    <row r="268" spans="1:13" x14ac:dyDescent="0.35">
      <c r="A268" s="42">
        <v>909</v>
      </c>
      <c r="B268" s="42" t="s">
        <v>136</v>
      </c>
      <c r="C268" s="42" t="s">
        <v>199</v>
      </c>
      <c r="D268" s="42" t="s">
        <v>159</v>
      </c>
      <c r="E268" s="42" t="s">
        <v>139</v>
      </c>
      <c r="F268" s="42" t="s">
        <v>140</v>
      </c>
      <c r="G268" s="42" t="s">
        <v>141</v>
      </c>
      <c r="H268" s="42" t="s">
        <v>150</v>
      </c>
      <c r="I268" s="42"/>
      <c r="J268" s="45" t="s">
        <v>147</v>
      </c>
      <c r="K268" s="42" t="s">
        <v>80</v>
      </c>
      <c r="L268" s="42" t="s">
        <v>80</v>
      </c>
      <c r="M268" s="44" t="s">
        <v>505</v>
      </c>
    </row>
    <row r="269" spans="1:13" x14ac:dyDescent="0.35">
      <c r="A269" s="42">
        <v>909</v>
      </c>
      <c r="B269" s="42" t="s">
        <v>136</v>
      </c>
      <c r="C269" s="42" t="s">
        <v>199</v>
      </c>
      <c r="D269" s="42" t="s">
        <v>159</v>
      </c>
      <c r="E269" s="42" t="s">
        <v>139</v>
      </c>
      <c r="F269" s="42" t="s">
        <v>140</v>
      </c>
      <c r="G269" s="42" t="s">
        <v>141</v>
      </c>
      <c r="H269" s="42" t="s">
        <v>150</v>
      </c>
      <c r="I269" s="42"/>
      <c r="J269" s="45" t="s">
        <v>147</v>
      </c>
      <c r="K269" s="42" t="s">
        <v>76</v>
      </c>
      <c r="L269" s="42" t="s">
        <v>76</v>
      </c>
      <c r="M269" s="44" t="s">
        <v>506</v>
      </c>
    </row>
    <row r="270" spans="1:13" x14ac:dyDescent="0.35">
      <c r="A270" s="42">
        <v>909</v>
      </c>
      <c r="B270" s="42" t="s">
        <v>136</v>
      </c>
      <c r="C270" s="42" t="s">
        <v>199</v>
      </c>
      <c r="D270" s="42" t="s">
        <v>159</v>
      </c>
      <c r="E270" s="42" t="s">
        <v>139</v>
      </c>
      <c r="F270" s="42" t="s">
        <v>140</v>
      </c>
      <c r="G270" s="42" t="s">
        <v>141</v>
      </c>
      <c r="H270" s="42" t="s">
        <v>150</v>
      </c>
      <c r="I270" s="42"/>
      <c r="J270" s="45" t="s">
        <v>147</v>
      </c>
      <c r="K270" s="42" t="s">
        <v>210</v>
      </c>
      <c r="L270" s="42" t="s">
        <v>210</v>
      </c>
      <c r="M270" s="44" t="s">
        <v>507</v>
      </c>
    </row>
    <row r="271" spans="1:13" ht="25" x14ac:dyDescent="0.35">
      <c r="A271" s="42">
        <v>909</v>
      </c>
      <c r="B271" s="42" t="s">
        <v>136</v>
      </c>
      <c r="C271" s="42" t="s">
        <v>199</v>
      </c>
      <c r="D271" s="42" t="s">
        <v>159</v>
      </c>
      <c r="E271" s="42" t="s">
        <v>139</v>
      </c>
      <c r="F271" s="42" t="s">
        <v>140</v>
      </c>
      <c r="G271" s="42" t="s">
        <v>141</v>
      </c>
      <c r="H271" s="42" t="s">
        <v>156</v>
      </c>
      <c r="I271" s="42"/>
      <c r="J271" s="43" t="s">
        <v>143</v>
      </c>
      <c r="K271" s="42" t="s">
        <v>184</v>
      </c>
      <c r="L271" s="42" t="s">
        <v>184</v>
      </c>
      <c r="M271" s="44" t="s">
        <v>508</v>
      </c>
    </row>
    <row r="272" spans="1:13" ht="37.5" x14ac:dyDescent="0.35">
      <c r="A272" s="42">
        <v>1066</v>
      </c>
      <c r="B272" s="42" t="s">
        <v>136</v>
      </c>
      <c r="C272" s="42" t="s">
        <v>137</v>
      </c>
      <c r="D272" s="42" t="s">
        <v>159</v>
      </c>
      <c r="E272" s="42" t="s">
        <v>160</v>
      </c>
      <c r="F272" s="42" t="s">
        <v>160</v>
      </c>
      <c r="G272" s="42" t="s">
        <v>141</v>
      </c>
      <c r="H272" s="42" t="s">
        <v>180</v>
      </c>
      <c r="I272" s="42">
        <v>6</v>
      </c>
      <c r="J272" s="43" t="s">
        <v>143</v>
      </c>
      <c r="K272" s="42" t="s">
        <v>196</v>
      </c>
      <c r="L272" s="42" t="s">
        <v>509</v>
      </c>
      <c r="M272" s="44" t="s">
        <v>510</v>
      </c>
    </row>
    <row r="273" spans="1:13" ht="25" x14ac:dyDescent="0.35">
      <c r="A273" s="42">
        <v>1066</v>
      </c>
      <c r="B273" s="42" t="s">
        <v>136</v>
      </c>
      <c r="C273" s="42" t="s">
        <v>137</v>
      </c>
      <c r="D273" s="42" t="s">
        <v>159</v>
      </c>
      <c r="E273" s="42" t="s">
        <v>160</v>
      </c>
      <c r="F273" s="42" t="s">
        <v>160</v>
      </c>
      <c r="G273" s="42" t="s">
        <v>141</v>
      </c>
      <c r="H273" s="42" t="s">
        <v>146</v>
      </c>
      <c r="I273" s="42">
        <v>8</v>
      </c>
      <c r="J273" s="46" t="s">
        <v>222</v>
      </c>
      <c r="K273" s="42" t="s">
        <v>196</v>
      </c>
      <c r="L273" s="42" t="s">
        <v>217</v>
      </c>
      <c r="M273" s="44" t="s">
        <v>511</v>
      </c>
    </row>
    <row r="274" spans="1:13" x14ac:dyDescent="0.35">
      <c r="A274" s="42">
        <v>1066</v>
      </c>
      <c r="B274" s="42" t="s">
        <v>136</v>
      </c>
      <c r="C274" s="42" t="s">
        <v>137</v>
      </c>
      <c r="D274" s="42" t="s">
        <v>159</v>
      </c>
      <c r="E274" s="42" t="s">
        <v>160</v>
      </c>
      <c r="F274" s="42" t="s">
        <v>160</v>
      </c>
      <c r="G274" s="42" t="s">
        <v>141</v>
      </c>
      <c r="H274" s="42" t="s">
        <v>150</v>
      </c>
      <c r="I274" s="42"/>
      <c r="J274" s="45" t="s">
        <v>147</v>
      </c>
      <c r="K274" s="42" t="s">
        <v>144</v>
      </c>
      <c r="L274" s="42" t="s">
        <v>144</v>
      </c>
      <c r="M274" s="44" t="s">
        <v>512</v>
      </c>
    </row>
    <row r="275" spans="1:13" x14ac:dyDescent="0.35">
      <c r="A275" s="42">
        <v>1066</v>
      </c>
      <c r="B275" s="42" t="s">
        <v>136</v>
      </c>
      <c r="C275" s="42" t="s">
        <v>137</v>
      </c>
      <c r="D275" s="42" t="s">
        <v>159</v>
      </c>
      <c r="E275" s="42" t="s">
        <v>160</v>
      </c>
      <c r="F275" s="42" t="s">
        <v>160</v>
      </c>
      <c r="G275" s="42" t="s">
        <v>141</v>
      </c>
      <c r="H275" s="42" t="s">
        <v>150</v>
      </c>
      <c r="I275" s="42"/>
      <c r="J275" s="45" t="s">
        <v>147</v>
      </c>
      <c r="K275" s="42" t="s">
        <v>210</v>
      </c>
      <c r="L275" s="42" t="s">
        <v>210</v>
      </c>
      <c r="M275" s="44" t="s">
        <v>513</v>
      </c>
    </row>
    <row r="276" spans="1:13" ht="25" x14ac:dyDescent="0.35">
      <c r="A276" s="42">
        <v>1066</v>
      </c>
      <c r="B276" s="42" t="s">
        <v>136</v>
      </c>
      <c r="C276" s="42" t="s">
        <v>137</v>
      </c>
      <c r="D276" s="42" t="s">
        <v>159</v>
      </c>
      <c r="E276" s="42" t="s">
        <v>160</v>
      </c>
      <c r="F276" s="42" t="s">
        <v>160</v>
      </c>
      <c r="G276" s="42" t="s">
        <v>141</v>
      </c>
      <c r="H276" s="42" t="s">
        <v>150</v>
      </c>
      <c r="I276" s="42"/>
      <c r="J276" s="45" t="s">
        <v>147</v>
      </c>
      <c r="K276" s="42" t="s">
        <v>78</v>
      </c>
      <c r="L276" s="42" t="s">
        <v>151</v>
      </c>
      <c r="M276" s="44" t="s">
        <v>514</v>
      </c>
    </row>
    <row r="277" spans="1:13" x14ac:dyDescent="0.35">
      <c r="A277" s="42">
        <v>1066</v>
      </c>
      <c r="B277" s="42" t="s">
        <v>136</v>
      </c>
      <c r="C277" s="42" t="s">
        <v>137</v>
      </c>
      <c r="D277" s="42" t="s">
        <v>159</v>
      </c>
      <c r="E277" s="42" t="s">
        <v>160</v>
      </c>
      <c r="F277" s="42" t="s">
        <v>160</v>
      </c>
      <c r="G277" s="42" t="s">
        <v>141</v>
      </c>
      <c r="H277" s="42" t="s">
        <v>156</v>
      </c>
      <c r="I277" s="42"/>
      <c r="J277" s="43" t="s">
        <v>143</v>
      </c>
      <c r="K277" s="42" t="s">
        <v>268</v>
      </c>
      <c r="L277" s="42" t="s">
        <v>515</v>
      </c>
      <c r="M277" s="44" t="s">
        <v>516</v>
      </c>
    </row>
    <row r="278" spans="1:13" ht="25" x14ac:dyDescent="0.35">
      <c r="A278" s="42">
        <v>1066</v>
      </c>
      <c r="B278" s="42" t="s">
        <v>136</v>
      </c>
      <c r="C278" s="42" t="s">
        <v>137</v>
      </c>
      <c r="D278" s="42" t="s">
        <v>159</v>
      </c>
      <c r="E278" s="42" t="s">
        <v>160</v>
      </c>
      <c r="F278" s="42" t="s">
        <v>160</v>
      </c>
      <c r="G278" s="42" t="s">
        <v>141</v>
      </c>
      <c r="H278" s="42" t="s">
        <v>156</v>
      </c>
      <c r="I278" s="42"/>
      <c r="J278" s="43" t="s">
        <v>143</v>
      </c>
      <c r="K278" s="42" t="s">
        <v>196</v>
      </c>
      <c r="L278" s="42" t="s">
        <v>517</v>
      </c>
      <c r="M278" s="44" t="s">
        <v>518</v>
      </c>
    </row>
    <row r="279" spans="1:13" ht="37.5" x14ac:dyDescent="0.35">
      <c r="A279" s="42">
        <v>1066</v>
      </c>
      <c r="B279" s="42" t="s">
        <v>136</v>
      </c>
      <c r="C279" s="42" t="s">
        <v>137</v>
      </c>
      <c r="D279" s="42" t="s">
        <v>159</v>
      </c>
      <c r="E279" s="42" t="s">
        <v>160</v>
      </c>
      <c r="F279" s="42" t="s">
        <v>160</v>
      </c>
      <c r="G279" s="42" t="s">
        <v>141</v>
      </c>
      <c r="H279" s="42" t="s">
        <v>156</v>
      </c>
      <c r="I279" s="42"/>
      <c r="J279" s="43" t="s">
        <v>143</v>
      </c>
      <c r="K279" s="42" t="s">
        <v>144</v>
      </c>
      <c r="L279" s="42" t="s">
        <v>519</v>
      </c>
      <c r="M279" s="44" t="s">
        <v>520</v>
      </c>
    </row>
    <row r="280" spans="1:13" x14ac:dyDescent="0.35">
      <c r="A280" s="42">
        <v>930</v>
      </c>
      <c r="B280" s="42" t="s">
        <v>136</v>
      </c>
      <c r="C280" s="42" t="s">
        <v>199</v>
      </c>
      <c r="D280" s="42" t="s">
        <v>176</v>
      </c>
      <c r="E280" s="42" t="s">
        <v>206</v>
      </c>
      <c r="F280" s="42" t="s">
        <v>206</v>
      </c>
      <c r="G280" s="42" t="s">
        <v>200</v>
      </c>
      <c r="H280" s="42" t="s">
        <v>146</v>
      </c>
      <c r="I280" s="42">
        <v>10</v>
      </c>
      <c r="J280" s="45" t="s">
        <v>147</v>
      </c>
      <c r="K280" s="42" t="s">
        <v>210</v>
      </c>
      <c r="L280" s="42" t="s">
        <v>210</v>
      </c>
      <c r="M280" s="44" t="s">
        <v>521</v>
      </c>
    </row>
    <row r="281" spans="1:13" x14ac:dyDescent="0.35">
      <c r="A281" s="42">
        <v>930</v>
      </c>
      <c r="B281" s="42" t="s">
        <v>136</v>
      </c>
      <c r="C281" s="42" t="s">
        <v>199</v>
      </c>
      <c r="D281" s="42" t="s">
        <v>176</v>
      </c>
      <c r="E281" s="42" t="s">
        <v>206</v>
      </c>
      <c r="F281" s="42" t="s">
        <v>206</v>
      </c>
      <c r="G281" s="42" t="s">
        <v>200</v>
      </c>
      <c r="H281" s="42" t="s">
        <v>150</v>
      </c>
      <c r="I281" s="42"/>
      <c r="J281" s="45" t="s">
        <v>147</v>
      </c>
      <c r="K281" s="42" t="s">
        <v>80</v>
      </c>
      <c r="L281" s="42" t="s">
        <v>80</v>
      </c>
      <c r="M281" s="44" t="s">
        <v>522</v>
      </c>
    </row>
    <row r="282" spans="1:13" x14ac:dyDescent="0.35">
      <c r="A282" s="42">
        <v>930</v>
      </c>
      <c r="B282" s="42" t="s">
        <v>136</v>
      </c>
      <c r="C282" s="42" t="s">
        <v>199</v>
      </c>
      <c r="D282" s="42" t="s">
        <v>176</v>
      </c>
      <c r="E282" s="42" t="s">
        <v>206</v>
      </c>
      <c r="F282" s="42" t="s">
        <v>206</v>
      </c>
      <c r="G282" s="42" t="s">
        <v>200</v>
      </c>
      <c r="H282" s="42" t="s">
        <v>150</v>
      </c>
      <c r="I282" s="42"/>
      <c r="J282" s="45" t="s">
        <v>147</v>
      </c>
      <c r="K282" s="42" t="s">
        <v>210</v>
      </c>
      <c r="L282" s="42" t="s">
        <v>210</v>
      </c>
      <c r="M282" s="44" t="s">
        <v>523</v>
      </c>
    </row>
    <row r="283" spans="1:13" x14ac:dyDescent="0.35">
      <c r="A283" s="42">
        <v>930</v>
      </c>
      <c r="B283" s="42" t="s">
        <v>136</v>
      </c>
      <c r="C283" s="42" t="s">
        <v>199</v>
      </c>
      <c r="D283" s="42" t="s">
        <v>176</v>
      </c>
      <c r="E283" s="42" t="s">
        <v>206</v>
      </c>
      <c r="F283" s="42" t="s">
        <v>206</v>
      </c>
      <c r="G283" s="42" t="s">
        <v>200</v>
      </c>
      <c r="H283" s="42" t="s">
        <v>150</v>
      </c>
      <c r="I283" s="42"/>
      <c r="J283" s="45" t="s">
        <v>147</v>
      </c>
      <c r="K283" s="42" t="s">
        <v>80</v>
      </c>
      <c r="L283" s="42" t="s">
        <v>80</v>
      </c>
      <c r="M283" s="44" t="s">
        <v>524</v>
      </c>
    </row>
    <row r="284" spans="1:13" x14ac:dyDescent="0.35">
      <c r="A284" s="42">
        <v>930</v>
      </c>
      <c r="B284" s="42" t="s">
        <v>136</v>
      </c>
      <c r="C284" s="42" t="s">
        <v>199</v>
      </c>
      <c r="D284" s="42" t="s">
        <v>176</v>
      </c>
      <c r="E284" s="42" t="s">
        <v>206</v>
      </c>
      <c r="F284" s="42" t="s">
        <v>206</v>
      </c>
      <c r="G284" s="42" t="s">
        <v>200</v>
      </c>
      <c r="H284" s="42" t="s">
        <v>156</v>
      </c>
      <c r="I284" s="42"/>
      <c r="J284" s="43" t="s">
        <v>143</v>
      </c>
      <c r="K284" s="42" t="s">
        <v>196</v>
      </c>
      <c r="L284" s="42" t="s">
        <v>525</v>
      </c>
      <c r="M284" s="44" t="s">
        <v>526</v>
      </c>
    </row>
    <row r="285" spans="1:13" x14ac:dyDescent="0.35">
      <c r="A285" s="42">
        <v>930</v>
      </c>
      <c r="B285" s="42" t="s">
        <v>136</v>
      </c>
      <c r="C285" s="42" t="s">
        <v>199</v>
      </c>
      <c r="D285" s="42" t="s">
        <v>176</v>
      </c>
      <c r="E285" s="42" t="s">
        <v>206</v>
      </c>
      <c r="F285" s="42" t="s">
        <v>206</v>
      </c>
      <c r="G285" s="42" t="s">
        <v>200</v>
      </c>
      <c r="H285" s="42" t="s">
        <v>156</v>
      </c>
      <c r="I285" s="42"/>
      <c r="J285" s="43" t="s">
        <v>143</v>
      </c>
      <c r="K285" s="42" t="s">
        <v>144</v>
      </c>
      <c r="L285" s="42" t="s">
        <v>250</v>
      </c>
      <c r="M285" s="44" t="s">
        <v>527</v>
      </c>
    </row>
    <row r="286" spans="1:13" x14ac:dyDescent="0.35">
      <c r="A286" s="42">
        <v>930</v>
      </c>
      <c r="B286" s="42" t="s">
        <v>136</v>
      </c>
      <c r="C286" s="42" t="s">
        <v>199</v>
      </c>
      <c r="D286" s="42" t="s">
        <v>176</v>
      </c>
      <c r="E286" s="42" t="s">
        <v>206</v>
      </c>
      <c r="F286" s="42" t="s">
        <v>206</v>
      </c>
      <c r="G286" s="42" t="s">
        <v>200</v>
      </c>
      <c r="H286" s="42" t="s">
        <v>156</v>
      </c>
      <c r="I286" s="42"/>
      <c r="J286" s="43" t="s">
        <v>143</v>
      </c>
      <c r="K286" s="42" t="s">
        <v>144</v>
      </c>
      <c r="L286" s="42" t="s">
        <v>144</v>
      </c>
      <c r="M286" s="44" t="s">
        <v>528</v>
      </c>
    </row>
    <row r="287" spans="1:13" x14ac:dyDescent="0.35">
      <c r="A287" s="42">
        <v>931</v>
      </c>
      <c r="B287" s="42" t="s">
        <v>136</v>
      </c>
      <c r="C287" s="42" t="s">
        <v>137</v>
      </c>
      <c r="D287" s="42" t="s">
        <v>159</v>
      </c>
      <c r="E287" s="42" t="s">
        <v>139</v>
      </c>
      <c r="F287" s="42" t="s">
        <v>140</v>
      </c>
      <c r="G287" s="42" t="s">
        <v>141</v>
      </c>
      <c r="H287" s="42" t="s">
        <v>163</v>
      </c>
      <c r="I287" s="42"/>
      <c r="J287" s="45" t="s">
        <v>147</v>
      </c>
      <c r="K287" s="42" t="s">
        <v>76</v>
      </c>
      <c r="L287" s="42" t="s">
        <v>529</v>
      </c>
      <c r="M287" s="44" t="s">
        <v>530</v>
      </c>
    </row>
    <row r="288" spans="1:13" ht="25" x14ac:dyDescent="0.35">
      <c r="A288" s="42">
        <v>931</v>
      </c>
      <c r="B288" s="42" t="s">
        <v>136</v>
      </c>
      <c r="C288" s="42" t="s">
        <v>137</v>
      </c>
      <c r="D288" s="42" t="s">
        <v>159</v>
      </c>
      <c r="E288" s="42" t="s">
        <v>139</v>
      </c>
      <c r="F288" s="42" t="s">
        <v>140</v>
      </c>
      <c r="G288" s="42" t="s">
        <v>141</v>
      </c>
      <c r="H288" s="42" t="s">
        <v>146</v>
      </c>
      <c r="I288" s="42">
        <v>10</v>
      </c>
      <c r="J288" s="45" t="s">
        <v>147</v>
      </c>
      <c r="K288" s="42" t="s">
        <v>210</v>
      </c>
      <c r="L288" s="42" t="s">
        <v>210</v>
      </c>
      <c r="M288" s="44" t="s">
        <v>531</v>
      </c>
    </row>
    <row r="289" spans="1:13" x14ac:dyDescent="0.35">
      <c r="A289" s="42">
        <v>931</v>
      </c>
      <c r="B289" s="42" t="s">
        <v>136</v>
      </c>
      <c r="C289" s="42" t="s">
        <v>137</v>
      </c>
      <c r="D289" s="42" t="s">
        <v>159</v>
      </c>
      <c r="E289" s="42" t="s">
        <v>139</v>
      </c>
      <c r="F289" s="42" t="s">
        <v>140</v>
      </c>
      <c r="G289" s="42" t="s">
        <v>141</v>
      </c>
      <c r="H289" s="42" t="s">
        <v>150</v>
      </c>
      <c r="I289" s="42"/>
      <c r="J289" s="45" t="s">
        <v>147</v>
      </c>
      <c r="K289" s="42" t="s">
        <v>144</v>
      </c>
      <c r="L289" s="42" t="s">
        <v>532</v>
      </c>
      <c r="M289" s="44" t="s">
        <v>533</v>
      </c>
    </row>
    <row r="290" spans="1:13" x14ac:dyDescent="0.35">
      <c r="A290" s="42">
        <v>931</v>
      </c>
      <c r="B290" s="42" t="s">
        <v>136</v>
      </c>
      <c r="C290" s="42" t="s">
        <v>137</v>
      </c>
      <c r="D290" s="42" t="s">
        <v>159</v>
      </c>
      <c r="E290" s="42" t="s">
        <v>139</v>
      </c>
      <c r="F290" s="42" t="s">
        <v>140</v>
      </c>
      <c r="G290" s="42" t="s">
        <v>141</v>
      </c>
      <c r="H290" s="42" t="s">
        <v>150</v>
      </c>
      <c r="I290" s="42"/>
      <c r="J290" s="45" t="s">
        <v>147</v>
      </c>
      <c r="K290" s="42" t="s">
        <v>78</v>
      </c>
      <c r="L290" s="42" t="s">
        <v>78</v>
      </c>
      <c r="M290" s="44" t="s">
        <v>534</v>
      </c>
    </row>
    <row r="291" spans="1:13" ht="25" x14ac:dyDescent="0.35">
      <c r="A291" s="42">
        <v>931</v>
      </c>
      <c r="B291" s="42" t="s">
        <v>136</v>
      </c>
      <c r="C291" s="42" t="s">
        <v>137</v>
      </c>
      <c r="D291" s="42" t="s">
        <v>159</v>
      </c>
      <c r="E291" s="42" t="s">
        <v>139</v>
      </c>
      <c r="F291" s="42" t="s">
        <v>140</v>
      </c>
      <c r="G291" s="42" t="s">
        <v>141</v>
      </c>
      <c r="H291" s="42" t="s">
        <v>150</v>
      </c>
      <c r="I291" s="42"/>
      <c r="J291" s="45" t="s">
        <v>147</v>
      </c>
      <c r="K291" s="42" t="s">
        <v>190</v>
      </c>
      <c r="L291" s="42" t="s">
        <v>190</v>
      </c>
      <c r="M291" s="44" t="s">
        <v>535</v>
      </c>
    </row>
    <row r="292" spans="1:13" ht="25" x14ac:dyDescent="0.35">
      <c r="A292" s="42">
        <v>931</v>
      </c>
      <c r="B292" s="42" t="s">
        <v>136</v>
      </c>
      <c r="C292" s="42" t="s">
        <v>137</v>
      </c>
      <c r="D292" s="42" t="s">
        <v>159</v>
      </c>
      <c r="E292" s="42" t="s">
        <v>139</v>
      </c>
      <c r="F292" s="42" t="s">
        <v>140</v>
      </c>
      <c r="G292" s="42" t="s">
        <v>141</v>
      </c>
      <c r="H292" s="42" t="s">
        <v>156</v>
      </c>
      <c r="I292" s="42"/>
      <c r="J292" s="43" t="s">
        <v>143</v>
      </c>
      <c r="K292" s="42" t="s">
        <v>268</v>
      </c>
      <c r="L292" s="42" t="s">
        <v>515</v>
      </c>
      <c r="M292" s="44" t="s">
        <v>536</v>
      </c>
    </row>
    <row r="293" spans="1:13" x14ac:dyDescent="0.35">
      <c r="A293" s="42">
        <v>931</v>
      </c>
      <c r="B293" s="42" t="s">
        <v>136</v>
      </c>
      <c r="C293" s="42" t="s">
        <v>137</v>
      </c>
      <c r="D293" s="42" t="s">
        <v>159</v>
      </c>
      <c r="E293" s="42" t="s">
        <v>139</v>
      </c>
      <c r="F293" s="42" t="s">
        <v>140</v>
      </c>
      <c r="G293" s="42" t="s">
        <v>141</v>
      </c>
      <c r="H293" s="42" t="s">
        <v>156</v>
      </c>
      <c r="I293" s="42"/>
      <c r="J293" s="43" t="s">
        <v>143</v>
      </c>
      <c r="K293" s="42" t="s">
        <v>196</v>
      </c>
      <c r="L293" s="42" t="s">
        <v>196</v>
      </c>
      <c r="M293" s="44" t="s">
        <v>537</v>
      </c>
    </row>
    <row r="294" spans="1:13" ht="25" x14ac:dyDescent="0.35">
      <c r="A294" s="42">
        <v>931</v>
      </c>
      <c r="B294" s="42" t="s">
        <v>136</v>
      </c>
      <c r="C294" s="42" t="s">
        <v>137</v>
      </c>
      <c r="D294" s="42" t="s">
        <v>159</v>
      </c>
      <c r="E294" s="42" t="s">
        <v>139</v>
      </c>
      <c r="F294" s="42" t="s">
        <v>140</v>
      </c>
      <c r="G294" s="42" t="s">
        <v>141</v>
      </c>
      <c r="H294" s="42" t="s">
        <v>156</v>
      </c>
      <c r="I294" s="42"/>
      <c r="J294" s="43" t="s">
        <v>143</v>
      </c>
      <c r="K294" s="42" t="s">
        <v>144</v>
      </c>
      <c r="L294" s="42" t="s">
        <v>241</v>
      </c>
      <c r="M294" s="44" t="s">
        <v>538</v>
      </c>
    </row>
    <row r="295" spans="1:13" ht="25" x14ac:dyDescent="0.35">
      <c r="A295" s="42">
        <v>1084</v>
      </c>
      <c r="B295" s="42" t="s">
        <v>175</v>
      </c>
      <c r="C295" s="42" t="s">
        <v>137</v>
      </c>
      <c r="D295" s="42" t="s">
        <v>176</v>
      </c>
      <c r="E295" s="42" t="s">
        <v>160</v>
      </c>
      <c r="F295" s="42" t="s">
        <v>160</v>
      </c>
      <c r="G295" s="42" t="s">
        <v>141</v>
      </c>
      <c r="H295" s="42" t="s">
        <v>146</v>
      </c>
      <c r="I295" s="42">
        <v>8</v>
      </c>
      <c r="J295" s="46" t="s">
        <v>222</v>
      </c>
      <c r="K295" s="42" t="s">
        <v>305</v>
      </c>
      <c r="L295" s="42" t="s">
        <v>539</v>
      </c>
      <c r="M295" s="44" t="s">
        <v>540</v>
      </c>
    </row>
    <row r="296" spans="1:13" x14ac:dyDescent="0.35">
      <c r="A296" s="42">
        <v>1084</v>
      </c>
      <c r="B296" s="42" t="s">
        <v>175</v>
      </c>
      <c r="C296" s="42" t="s">
        <v>137</v>
      </c>
      <c r="D296" s="42" t="s">
        <v>176</v>
      </c>
      <c r="E296" s="42" t="s">
        <v>160</v>
      </c>
      <c r="F296" s="42" t="s">
        <v>160</v>
      </c>
      <c r="G296" s="42" t="s">
        <v>141</v>
      </c>
      <c r="H296" s="42" t="s">
        <v>150</v>
      </c>
      <c r="I296" s="42"/>
      <c r="J296" s="45" t="s">
        <v>147</v>
      </c>
      <c r="K296" s="42" t="s">
        <v>78</v>
      </c>
      <c r="L296" s="42" t="s">
        <v>151</v>
      </c>
      <c r="M296" s="44" t="s">
        <v>541</v>
      </c>
    </row>
    <row r="297" spans="1:13" x14ac:dyDescent="0.35">
      <c r="A297" s="42">
        <v>1084</v>
      </c>
      <c r="B297" s="42" t="s">
        <v>175</v>
      </c>
      <c r="C297" s="42" t="s">
        <v>137</v>
      </c>
      <c r="D297" s="42" t="s">
        <v>176</v>
      </c>
      <c r="E297" s="42" t="s">
        <v>160</v>
      </c>
      <c r="F297" s="42" t="s">
        <v>160</v>
      </c>
      <c r="G297" s="42" t="s">
        <v>141</v>
      </c>
      <c r="H297" s="42" t="s">
        <v>150</v>
      </c>
      <c r="I297" s="42"/>
      <c r="J297" s="45" t="s">
        <v>147</v>
      </c>
      <c r="K297" s="42" t="s">
        <v>210</v>
      </c>
      <c r="L297" s="42" t="s">
        <v>210</v>
      </c>
      <c r="M297" s="44" t="s">
        <v>542</v>
      </c>
    </row>
    <row r="298" spans="1:13" x14ac:dyDescent="0.35">
      <c r="A298" s="42">
        <v>1084</v>
      </c>
      <c r="B298" s="42" t="s">
        <v>175</v>
      </c>
      <c r="C298" s="42" t="s">
        <v>137</v>
      </c>
      <c r="D298" s="42" t="s">
        <v>176</v>
      </c>
      <c r="E298" s="42" t="s">
        <v>160</v>
      </c>
      <c r="F298" s="42" t="s">
        <v>160</v>
      </c>
      <c r="G298" s="42" t="s">
        <v>141</v>
      </c>
      <c r="H298" s="42" t="s">
        <v>150</v>
      </c>
      <c r="I298" s="42"/>
      <c r="J298" s="45" t="s">
        <v>147</v>
      </c>
      <c r="K298" s="42" t="s">
        <v>76</v>
      </c>
      <c r="L298" s="42" t="s">
        <v>76</v>
      </c>
      <c r="M298" s="44" t="s">
        <v>543</v>
      </c>
    </row>
    <row r="299" spans="1:13" x14ac:dyDescent="0.35">
      <c r="A299" s="42">
        <v>1084</v>
      </c>
      <c r="B299" s="42" t="s">
        <v>175</v>
      </c>
      <c r="C299" s="42" t="s">
        <v>137</v>
      </c>
      <c r="D299" s="42" t="s">
        <v>176</v>
      </c>
      <c r="E299" s="42" t="s">
        <v>160</v>
      </c>
      <c r="F299" s="42" t="s">
        <v>160</v>
      </c>
      <c r="G299" s="42" t="s">
        <v>141</v>
      </c>
      <c r="H299" s="42" t="s">
        <v>156</v>
      </c>
      <c r="I299" s="42"/>
      <c r="J299" s="43" t="s">
        <v>143</v>
      </c>
      <c r="K299" s="42" t="s">
        <v>210</v>
      </c>
      <c r="L299" s="42" t="s">
        <v>210</v>
      </c>
      <c r="M299" s="44" t="s">
        <v>544</v>
      </c>
    </row>
    <row r="300" spans="1:13" x14ac:dyDescent="0.35">
      <c r="A300" s="42">
        <v>1084</v>
      </c>
      <c r="B300" s="42" t="s">
        <v>175</v>
      </c>
      <c r="C300" s="42" t="s">
        <v>137</v>
      </c>
      <c r="D300" s="42" t="s">
        <v>176</v>
      </c>
      <c r="E300" s="42" t="s">
        <v>160</v>
      </c>
      <c r="F300" s="42" t="s">
        <v>160</v>
      </c>
      <c r="G300" s="42" t="s">
        <v>141</v>
      </c>
      <c r="H300" s="42" t="s">
        <v>156</v>
      </c>
      <c r="I300" s="42"/>
      <c r="J300" s="43" t="s">
        <v>143</v>
      </c>
      <c r="K300" s="42" t="s">
        <v>305</v>
      </c>
      <c r="L300" s="42" t="s">
        <v>305</v>
      </c>
      <c r="M300" s="44" t="s">
        <v>545</v>
      </c>
    </row>
    <row r="301" spans="1:13" x14ac:dyDescent="0.35">
      <c r="A301" s="42">
        <v>1084</v>
      </c>
      <c r="B301" s="42" t="s">
        <v>175</v>
      </c>
      <c r="C301" s="42" t="s">
        <v>137</v>
      </c>
      <c r="D301" s="42" t="s">
        <v>176</v>
      </c>
      <c r="E301" s="42" t="s">
        <v>160</v>
      </c>
      <c r="F301" s="42" t="s">
        <v>160</v>
      </c>
      <c r="G301" s="42" t="s">
        <v>141</v>
      </c>
      <c r="H301" s="42" t="s">
        <v>156</v>
      </c>
      <c r="I301" s="42"/>
      <c r="J301" s="43" t="s">
        <v>143</v>
      </c>
      <c r="K301" s="42" t="s">
        <v>268</v>
      </c>
      <c r="L301" s="42" t="s">
        <v>268</v>
      </c>
      <c r="M301" s="44" t="s">
        <v>546</v>
      </c>
    </row>
    <row r="302" spans="1:13" x14ac:dyDescent="0.35">
      <c r="A302" s="42">
        <v>933</v>
      </c>
      <c r="B302" s="42" t="s">
        <v>136</v>
      </c>
      <c r="C302" s="42" t="s">
        <v>199</v>
      </c>
      <c r="D302" s="42" t="s">
        <v>176</v>
      </c>
      <c r="E302" s="42" t="s">
        <v>139</v>
      </c>
      <c r="F302" s="42" t="s">
        <v>140</v>
      </c>
      <c r="G302" s="42" t="s">
        <v>141</v>
      </c>
      <c r="H302" s="42" t="s">
        <v>146</v>
      </c>
      <c r="I302" s="42">
        <v>10</v>
      </c>
      <c r="J302" s="45" t="s">
        <v>147</v>
      </c>
      <c r="K302" s="42" t="s">
        <v>80</v>
      </c>
      <c r="L302" s="42" t="s">
        <v>80</v>
      </c>
      <c r="M302" s="44" t="s">
        <v>547</v>
      </c>
    </row>
    <row r="303" spans="1:13" x14ac:dyDescent="0.35">
      <c r="A303" s="42">
        <v>933</v>
      </c>
      <c r="B303" s="42" t="s">
        <v>136</v>
      </c>
      <c r="C303" s="42" t="s">
        <v>199</v>
      </c>
      <c r="D303" s="42" t="s">
        <v>176</v>
      </c>
      <c r="E303" s="42" t="s">
        <v>139</v>
      </c>
      <c r="F303" s="42" t="s">
        <v>140</v>
      </c>
      <c r="G303" s="42" t="s">
        <v>141</v>
      </c>
      <c r="H303" s="42" t="s">
        <v>150</v>
      </c>
      <c r="I303" s="42"/>
      <c r="J303" s="45" t="s">
        <v>147</v>
      </c>
      <c r="K303" s="42" t="s">
        <v>144</v>
      </c>
      <c r="L303" s="42" t="s">
        <v>548</v>
      </c>
      <c r="M303" s="44" t="s">
        <v>549</v>
      </c>
    </row>
    <row r="304" spans="1:13" x14ac:dyDescent="0.35">
      <c r="A304" s="42">
        <v>933</v>
      </c>
      <c r="B304" s="42" t="s">
        <v>136</v>
      </c>
      <c r="C304" s="42" t="s">
        <v>199</v>
      </c>
      <c r="D304" s="42" t="s">
        <v>176</v>
      </c>
      <c r="E304" s="42" t="s">
        <v>139</v>
      </c>
      <c r="F304" s="42" t="s">
        <v>140</v>
      </c>
      <c r="G304" s="42" t="s">
        <v>141</v>
      </c>
      <c r="H304" s="42" t="s">
        <v>150</v>
      </c>
      <c r="I304" s="42"/>
      <c r="J304" s="45" t="s">
        <v>147</v>
      </c>
      <c r="K304" s="42" t="s">
        <v>196</v>
      </c>
      <c r="L304" s="42" t="s">
        <v>201</v>
      </c>
      <c r="M304" s="44" t="s">
        <v>550</v>
      </c>
    </row>
    <row r="305" spans="1:13" x14ac:dyDescent="0.35">
      <c r="A305" s="42">
        <v>933</v>
      </c>
      <c r="B305" s="42" t="s">
        <v>136</v>
      </c>
      <c r="C305" s="42" t="s">
        <v>199</v>
      </c>
      <c r="D305" s="42" t="s">
        <v>176</v>
      </c>
      <c r="E305" s="42" t="s">
        <v>139</v>
      </c>
      <c r="F305" s="42" t="s">
        <v>140</v>
      </c>
      <c r="G305" s="42" t="s">
        <v>141</v>
      </c>
      <c r="H305" s="42" t="s">
        <v>150</v>
      </c>
      <c r="I305" s="42"/>
      <c r="J305" s="45" t="s">
        <v>147</v>
      </c>
      <c r="K305" s="42" t="s">
        <v>210</v>
      </c>
      <c r="L305" s="42" t="s">
        <v>210</v>
      </c>
      <c r="M305" s="44" t="s">
        <v>551</v>
      </c>
    </row>
    <row r="306" spans="1:13" x14ac:dyDescent="0.35">
      <c r="A306" s="42">
        <v>933</v>
      </c>
      <c r="B306" s="42" t="s">
        <v>136</v>
      </c>
      <c r="C306" s="42" t="s">
        <v>199</v>
      </c>
      <c r="D306" s="42" t="s">
        <v>176</v>
      </c>
      <c r="E306" s="42" t="s">
        <v>139</v>
      </c>
      <c r="F306" s="42" t="s">
        <v>140</v>
      </c>
      <c r="G306" s="42" t="s">
        <v>141</v>
      </c>
      <c r="H306" s="42" t="s">
        <v>156</v>
      </c>
      <c r="I306" s="42"/>
      <c r="J306" s="43" t="s">
        <v>143</v>
      </c>
      <c r="K306" s="42" t="s">
        <v>76</v>
      </c>
      <c r="L306" s="42" t="s">
        <v>552</v>
      </c>
      <c r="M306" s="44" t="s">
        <v>553</v>
      </c>
    </row>
    <row r="307" spans="1:13" x14ac:dyDescent="0.35">
      <c r="A307" s="42">
        <v>933</v>
      </c>
      <c r="B307" s="42" t="s">
        <v>136</v>
      </c>
      <c r="C307" s="42" t="s">
        <v>199</v>
      </c>
      <c r="D307" s="42" t="s">
        <v>176</v>
      </c>
      <c r="E307" s="42" t="s">
        <v>139</v>
      </c>
      <c r="F307" s="42" t="s">
        <v>140</v>
      </c>
      <c r="G307" s="42" t="s">
        <v>141</v>
      </c>
      <c r="H307" s="42" t="s">
        <v>156</v>
      </c>
      <c r="I307" s="42"/>
      <c r="J307" s="43" t="s">
        <v>143</v>
      </c>
      <c r="K307" s="42" t="s">
        <v>305</v>
      </c>
      <c r="L307" s="42" t="s">
        <v>554</v>
      </c>
      <c r="M307" s="44" t="s">
        <v>555</v>
      </c>
    </row>
    <row r="308" spans="1:13" x14ac:dyDescent="0.35">
      <c r="A308" s="42">
        <v>933</v>
      </c>
      <c r="B308" s="42" t="s">
        <v>136</v>
      </c>
      <c r="C308" s="42" t="s">
        <v>199</v>
      </c>
      <c r="D308" s="42" t="s">
        <v>176</v>
      </c>
      <c r="E308" s="42" t="s">
        <v>139</v>
      </c>
      <c r="F308" s="42" t="s">
        <v>140</v>
      </c>
      <c r="G308" s="42" t="s">
        <v>141</v>
      </c>
      <c r="H308" s="42" t="s">
        <v>156</v>
      </c>
      <c r="I308" s="42"/>
      <c r="J308" s="43" t="s">
        <v>143</v>
      </c>
      <c r="K308" s="42" t="s">
        <v>333</v>
      </c>
      <c r="L308" s="42" t="s">
        <v>556</v>
      </c>
      <c r="M308" s="44" t="s">
        <v>557</v>
      </c>
    </row>
    <row r="309" spans="1:13" x14ac:dyDescent="0.35">
      <c r="A309" s="42">
        <v>1096</v>
      </c>
      <c r="B309" s="42" t="s">
        <v>136</v>
      </c>
      <c r="C309" s="42" t="s">
        <v>137</v>
      </c>
      <c r="D309" s="42" t="s">
        <v>159</v>
      </c>
      <c r="E309" s="42" t="s">
        <v>160</v>
      </c>
      <c r="F309" s="42" t="s">
        <v>160</v>
      </c>
      <c r="G309" s="42" t="s">
        <v>141</v>
      </c>
      <c r="H309" s="42" t="s">
        <v>146</v>
      </c>
      <c r="I309" s="42">
        <v>8</v>
      </c>
      <c r="J309" s="46" t="s">
        <v>222</v>
      </c>
      <c r="K309" s="42" t="s">
        <v>210</v>
      </c>
      <c r="L309" s="42" t="s">
        <v>210</v>
      </c>
      <c r="M309" s="44" t="s">
        <v>558</v>
      </c>
    </row>
    <row r="310" spans="1:13" x14ac:dyDescent="0.35">
      <c r="A310" s="42">
        <v>1096</v>
      </c>
      <c r="B310" s="42" t="s">
        <v>136</v>
      </c>
      <c r="C310" s="42" t="s">
        <v>137</v>
      </c>
      <c r="D310" s="42" t="s">
        <v>159</v>
      </c>
      <c r="E310" s="42" t="s">
        <v>160</v>
      </c>
      <c r="F310" s="42" t="s">
        <v>160</v>
      </c>
      <c r="G310" s="42" t="s">
        <v>141</v>
      </c>
      <c r="H310" s="42" t="s">
        <v>156</v>
      </c>
      <c r="I310" s="42"/>
      <c r="J310" s="43" t="s">
        <v>143</v>
      </c>
      <c r="K310" s="42" t="s">
        <v>196</v>
      </c>
      <c r="L310" s="42" t="s">
        <v>196</v>
      </c>
      <c r="M310" s="44" t="s">
        <v>559</v>
      </c>
    </row>
    <row r="311" spans="1:13" ht="25" x14ac:dyDescent="0.35">
      <c r="A311" s="42">
        <v>1096</v>
      </c>
      <c r="B311" s="42" t="s">
        <v>136</v>
      </c>
      <c r="C311" s="42" t="s">
        <v>137</v>
      </c>
      <c r="D311" s="42" t="s">
        <v>159</v>
      </c>
      <c r="E311" s="42" t="s">
        <v>160</v>
      </c>
      <c r="F311" s="42" t="s">
        <v>160</v>
      </c>
      <c r="G311" s="42" t="s">
        <v>141</v>
      </c>
      <c r="H311" s="42" t="s">
        <v>156</v>
      </c>
      <c r="I311" s="42"/>
      <c r="J311" s="43" t="s">
        <v>143</v>
      </c>
      <c r="K311" s="42" t="s">
        <v>196</v>
      </c>
      <c r="L311" s="42" t="s">
        <v>196</v>
      </c>
      <c r="M311" s="44" t="s">
        <v>560</v>
      </c>
    </row>
    <row r="312" spans="1:13" x14ac:dyDescent="0.35">
      <c r="A312" s="42">
        <v>1110</v>
      </c>
      <c r="B312" s="42" t="s">
        <v>175</v>
      </c>
      <c r="C312" s="42" t="s">
        <v>199</v>
      </c>
      <c r="D312" s="42" t="s">
        <v>159</v>
      </c>
      <c r="E312" s="42" t="s">
        <v>160</v>
      </c>
      <c r="F312" s="42" t="s">
        <v>160</v>
      </c>
      <c r="G312" s="42" t="s">
        <v>141</v>
      </c>
      <c r="H312" s="42" t="s">
        <v>146</v>
      </c>
      <c r="I312" s="42">
        <v>8</v>
      </c>
      <c r="J312" s="46" t="s">
        <v>222</v>
      </c>
      <c r="K312" s="42" t="s">
        <v>80</v>
      </c>
      <c r="L312" s="42" t="s">
        <v>80</v>
      </c>
      <c r="M312" s="44" t="s">
        <v>561</v>
      </c>
    </row>
    <row r="313" spans="1:13" x14ac:dyDescent="0.35">
      <c r="A313" s="42">
        <v>1110</v>
      </c>
      <c r="B313" s="42" t="s">
        <v>175</v>
      </c>
      <c r="C313" s="42" t="s">
        <v>199</v>
      </c>
      <c r="D313" s="42" t="s">
        <v>159</v>
      </c>
      <c r="E313" s="42" t="s">
        <v>160</v>
      </c>
      <c r="F313" s="42" t="s">
        <v>160</v>
      </c>
      <c r="G313" s="42" t="s">
        <v>141</v>
      </c>
      <c r="H313" s="42" t="s">
        <v>150</v>
      </c>
      <c r="I313" s="42"/>
      <c r="J313" s="45" t="s">
        <v>147</v>
      </c>
      <c r="K313" s="42" t="s">
        <v>181</v>
      </c>
      <c r="L313" s="42" t="s">
        <v>562</v>
      </c>
      <c r="M313" s="44" t="s">
        <v>563</v>
      </c>
    </row>
    <row r="314" spans="1:13" x14ac:dyDescent="0.35">
      <c r="A314" s="42">
        <v>1110</v>
      </c>
      <c r="B314" s="42" t="s">
        <v>175</v>
      </c>
      <c r="C314" s="42" t="s">
        <v>199</v>
      </c>
      <c r="D314" s="42" t="s">
        <v>159</v>
      </c>
      <c r="E314" s="42" t="s">
        <v>160</v>
      </c>
      <c r="F314" s="42" t="s">
        <v>160</v>
      </c>
      <c r="G314" s="42" t="s">
        <v>141</v>
      </c>
      <c r="H314" s="42" t="s">
        <v>150</v>
      </c>
      <c r="I314" s="42"/>
      <c r="J314" s="45" t="s">
        <v>147</v>
      </c>
      <c r="K314" s="42" t="s">
        <v>187</v>
      </c>
      <c r="L314" s="42" t="s">
        <v>187</v>
      </c>
      <c r="M314" s="44" t="s">
        <v>564</v>
      </c>
    </row>
    <row r="315" spans="1:13" x14ac:dyDescent="0.35">
      <c r="A315" s="42">
        <v>1110</v>
      </c>
      <c r="B315" s="42" t="s">
        <v>175</v>
      </c>
      <c r="C315" s="42" t="s">
        <v>199</v>
      </c>
      <c r="D315" s="42" t="s">
        <v>159</v>
      </c>
      <c r="E315" s="42" t="s">
        <v>160</v>
      </c>
      <c r="F315" s="42" t="s">
        <v>160</v>
      </c>
      <c r="G315" s="42" t="s">
        <v>141</v>
      </c>
      <c r="H315" s="42" t="s">
        <v>150</v>
      </c>
      <c r="I315" s="42"/>
      <c r="J315" s="45" t="s">
        <v>147</v>
      </c>
      <c r="K315" s="42" t="s">
        <v>210</v>
      </c>
      <c r="L315" s="42" t="s">
        <v>210</v>
      </c>
      <c r="M315" s="44" t="s">
        <v>565</v>
      </c>
    </row>
    <row r="316" spans="1:13" x14ac:dyDescent="0.35">
      <c r="A316" s="42">
        <v>1110</v>
      </c>
      <c r="B316" s="42" t="s">
        <v>175</v>
      </c>
      <c r="C316" s="42" t="s">
        <v>199</v>
      </c>
      <c r="D316" s="42" t="s">
        <v>159</v>
      </c>
      <c r="E316" s="42" t="s">
        <v>160</v>
      </c>
      <c r="F316" s="42" t="s">
        <v>160</v>
      </c>
      <c r="G316" s="42" t="s">
        <v>141</v>
      </c>
      <c r="H316" s="42" t="s">
        <v>156</v>
      </c>
      <c r="I316" s="42"/>
      <c r="J316" s="43" t="s">
        <v>143</v>
      </c>
      <c r="K316" s="42" t="s">
        <v>187</v>
      </c>
      <c r="L316" s="42" t="s">
        <v>279</v>
      </c>
      <c r="M316" s="44" t="s">
        <v>566</v>
      </c>
    </row>
    <row r="317" spans="1:13" x14ac:dyDescent="0.35">
      <c r="A317" s="42">
        <v>1110</v>
      </c>
      <c r="B317" s="42" t="s">
        <v>175</v>
      </c>
      <c r="C317" s="42" t="s">
        <v>199</v>
      </c>
      <c r="D317" s="42" t="s">
        <v>159</v>
      </c>
      <c r="E317" s="42" t="s">
        <v>160</v>
      </c>
      <c r="F317" s="42" t="s">
        <v>160</v>
      </c>
      <c r="G317" s="42" t="s">
        <v>141</v>
      </c>
      <c r="H317" s="42" t="s">
        <v>156</v>
      </c>
      <c r="I317" s="42"/>
      <c r="J317" s="43" t="s">
        <v>143</v>
      </c>
      <c r="K317" s="42" t="s">
        <v>210</v>
      </c>
      <c r="L317" s="42" t="s">
        <v>210</v>
      </c>
      <c r="M317" s="44" t="s">
        <v>567</v>
      </c>
    </row>
    <row r="318" spans="1:13" x14ac:dyDescent="0.35">
      <c r="A318" s="42">
        <v>1110</v>
      </c>
      <c r="B318" s="42" t="s">
        <v>175</v>
      </c>
      <c r="C318" s="42" t="s">
        <v>199</v>
      </c>
      <c r="D318" s="42" t="s">
        <v>159</v>
      </c>
      <c r="E318" s="42" t="s">
        <v>160</v>
      </c>
      <c r="F318" s="42" t="s">
        <v>160</v>
      </c>
      <c r="G318" s="42" t="s">
        <v>141</v>
      </c>
      <c r="H318" s="42" t="s">
        <v>156</v>
      </c>
      <c r="I318" s="42"/>
      <c r="J318" s="43" t="s">
        <v>143</v>
      </c>
      <c r="K318" s="42" t="s">
        <v>187</v>
      </c>
      <c r="L318" s="42" t="s">
        <v>568</v>
      </c>
      <c r="M318" s="44" t="s">
        <v>569</v>
      </c>
    </row>
    <row r="319" spans="1:13" ht="50" x14ac:dyDescent="0.35">
      <c r="A319" s="42">
        <v>938</v>
      </c>
      <c r="B319" s="42" t="s">
        <v>136</v>
      </c>
      <c r="C319" s="42" t="s">
        <v>137</v>
      </c>
      <c r="D319" s="42" t="s">
        <v>159</v>
      </c>
      <c r="E319" s="42" t="s">
        <v>274</v>
      </c>
      <c r="F319" s="42" t="s">
        <v>140</v>
      </c>
      <c r="G319" s="42" t="s">
        <v>141</v>
      </c>
      <c r="H319" s="42" t="s">
        <v>177</v>
      </c>
      <c r="I319" s="42">
        <v>3</v>
      </c>
      <c r="J319" s="43" t="s">
        <v>143</v>
      </c>
      <c r="K319" s="42" t="s">
        <v>53</v>
      </c>
      <c r="L319" s="42" t="s">
        <v>570</v>
      </c>
      <c r="M319" s="44" t="s">
        <v>571</v>
      </c>
    </row>
    <row r="320" spans="1:13" x14ac:dyDescent="0.35">
      <c r="A320" s="42">
        <v>938</v>
      </c>
      <c r="B320" s="42" t="s">
        <v>136</v>
      </c>
      <c r="C320" s="42" t="s">
        <v>137</v>
      </c>
      <c r="D320" s="42" t="s">
        <v>159</v>
      </c>
      <c r="E320" s="42" t="s">
        <v>274</v>
      </c>
      <c r="F320" s="42" t="s">
        <v>140</v>
      </c>
      <c r="G320" s="42" t="s">
        <v>141</v>
      </c>
      <c r="H320" s="42" t="s">
        <v>146</v>
      </c>
      <c r="I320" s="42">
        <v>9</v>
      </c>
      <c r="J320" s="45" t="s">
        <v>147</v>
      </c>
      <c r="K320" s="42" t="s">
        <v>210</v>
      </c>
      <c r="L320" s="42" t="s">
        <v>210</v>
      </c>
      <c r="M320" s="44" t="s">
        <v>572</v>
      </c>
    </row>
    <row r="321" spans="1:13" ht="25" x14ac:dyDescent="0.35">
      <c r="A321" s="42">
        <v>938</v>
      </c>
      <c r="B321" s="42" t="s">
        <v>136</v>
      </c>
      <c r="C321" s="42" t="s">
        <v>137</v>
      </c>
      <c r="D321" s="42" t="s">
        <v>159</v>
      </c>
      <c r="E321" s="42" t="s">
        <v>274</v>
      </c>
      <c r="F321" s="42" t="s">
        <v>140</v>
      </c>
      <c r="G321" s="42" t="s">
        <v>141</v>
      </c>
      <c r="H321" s="42" t="s">
        <v>150</v>
      </c>
      <c r="I321" s="42"/>
      <c r="J321" s="45" t="s">
        <v>147</v>
      </c>
      <c r="K321" s="42" t="s">
        <v>78</v>
      </c>
      <c r="L321" s="42" t="s">
        <v>78</v>
      </c>
      <c r="M321" s="44" t="s">
        <v>573</v>
      </c>
    </row>
    <row r="322" spans="1:13" x14ac:dyDescent="0.35">
      <c r="A322" s="42">
        <v>938</v>
      </c>
      <c r="B322" s="42" t="s">
        <v>136</v>
      </c>
      <c r="C322" s="42" t="s">
        <v>137</v>
      </c>
      <c r="D322" s="42" t="s">
        <v>159</v>
      </c>
      <c r="E322" s="42" t="s">
        <v>274</v>
      </c>
      <c r="F322" s="42" t="s">
        <v>140</v>
      </c>
      <c r="G322" s="42" t="s">
        <v>141</v>
      </c>
      <c r="H322" s="42" t="s">
        <v>150</v>
      </c>
      <c r="I322" s="42"/>
      <c r="J322" s="45" t="s">
        <v>147</v>
      </c>
      <c r="K322" s="42" t="s">
        <v>262</v>
      </c>
      <c r="L322" s="42" t="s">
        <v>263</v>
      </c>
      <c r="M322" s="44" t="s">
        <v>574</v>
      </c>
    </row>
    <row r="323" spans="1:13" x14ac:dyDescent="0.35">
      <c r="A323" s="42">
        <v>938</v>
      </c>
      <c r="B323" s="42" t="s">
        <v>136</v>
      </c>
      <c r="C323" s="42" t="s">
        <v>137</v>
      </c>
      <c r="D323" s="42" t="s">
        <v>159</v>
      </c>
      <c r="E323" s="42" t="s">
        <v>274</v>
      </c>
      <c r="F323" s="42" t="s">
        <v>140</v>
      </c>
      <c r="G323" s="42" t="s">
        <v>141</v>
      </c>
      <c r="H323" s="42" t="s">
        <v>150</v>
      </c>
      <c r="I323" s="42"/>
      <c r="J323" s="45" t="s">
        <v>147</v>
      </c>
      <c r="K323" s="42" t="s">
        <v>210</v>
      </c>
      <c r="L323" s="42" t="s">
        <v>210</v>
      </c>
      <c r="M323" s="44" t="s">
        <v>575</v>
      </c>
    </row>
    <row r="324" spans="1:13" ht="25" x14ac:dyDescent="0.35">
      <c r="A324" s="42">
        <v>938</v>
      </c>
      <c r="B324" s="42" t="s">
        <v>136</v>
      </c>
      <c r="C324" s="42" t="s">
        <v>137</v>
      </c>
      <c r="D324" s="42" t="s">
        <v>159</v>
      </c>
      <c r="E324" s="42" t="s">
        <v>274</v>
      </c>
      <c r="F324" s="42" t="s">
        <v>140</v>
      </c>
      <c r="G324" s="42" t="s">
        <v>141</v>
      </c>
      <c r="H324" s="42" t="s">
        <v>156</v>
      </c>
      <c r="I324" s="42"/>
      <c r="J324" s="43" t="s">
        <v>143</v>
      </c>
      <c r="K324" s="42" t="s">
        <v>196</v>
      </c>
      <c r="L324" s="42" t="s">
        <v>509</v>
      </c>
      <c r="M324" s="44" t="s">
        <v>576</v>
      </c>
    </row>
    <row r="325" spans="1:13" ht="25" x14ac:dyDescent="0.35">
      <c r="A325" s="42">
        <v>938</v>
      </c>
      <c r="B325" s="42" t="s">
        <v>136</v>
      </c>
      <c r="C325" s="42" t="s">
        <v>137</v>
      </c>
      <c r="D325" s="42" t="s">
        <v>159</v>
      </c>
      <c r="E325" s="42" t="s">
        <v>274</v>
      </c>
      <c r="F325" s="42" t="s">
        <v>140</v>
      </c>
      <c r="G325" s="42" t="s">
        <v>141</v>
      </c>
      <c r="H325" s="42" t="s">
        <v>156</v>
      </c>
      <c r="I325" s="42"/>
      <c r="J325" s="43" t="s">
        <v>143</v>
      </c>
      <c r="K325" s="42" t="s">
        <v>190</v>
      </c>
      <c r="L325" s="42" t="s">
        <v>190</v>
      </c>
      <c r="M325" s="44" t="s">
        <v>577</v>
      </c>
    </row>
    <row r="326" spans="1:13" ht="25" x14ac:dyDescent="0.35">
      <c r="A326" s="42">
        <v>938</v>
      </c>
      <c r="B326" s="42" t="s">
        <v>136</v>
      </c>
      <c r="C326" s="42" t="s">
        <v>137</v>
      </c>
      <c r="D326" s="42" t="s">
        <v>159</v>
      </c>
      <c r="E326" s="42" t="s">
        <v>274</v>
      </c>
      <c r="F326" s="42" t="s">
        <v>140</v>
      </c>
      <c r="G326" s="42" t="s">
        <v>141</v>
      </c>
      <c r="H326" s="42" t="s">
        <v>156</v>
      </c>
      <c r="I326" s="42"/>
      <c r="J326" s="43" t="s">
        <v>143</v>
      </c>
      <c r="K326" s="42" t="s">
        <v>53</v>
      </c>
      <c r="L326" s="42" t="s">
        <v>578</v>
      </c>
      <c r="M326" s="44" t="s">
        <v>579</v>
      </c>
    </row>
    <row r="327" spans="1:13" x14ac:dyDescent="0.35">
      <c r="A327" s="42">
        <v>939</v>
      </c>
      <c r="B327" s="42" t="s">
        <v>136</v>
      </c>
      <c r="C327" s="42" t="s">
        <v>199</v>
      </c>
      <c r="D327" s="42" t="s">
        <v>159</v>
      </c>
      <c r="E327" s="42" t="s">
        <v>206</v>
      </c>
      <c r="F327" s="42" t="s">
        <v>206</v>
      </c>
      <c r="G327" s="42" t="s">
        <v>141</v>
      </c>
      <c r="H327" s="42" t="s">
        <v>163</v>
      </c>
      <c r="I327" s="42"/>
      <c r="J327" s="45" t="s">
        <v>147</v>
      </c>
      <c r="K327" s="42" t="s">
        <v>184</v>
      </c>
      <c r="L327" s="42" t="s">
        <v>184</v>
      </c>
      <c r="M327" s="44" t="s">
        <v>580</v>
      </c>
    </row>
    <row r="328" spans="1:13" x14ac:dyDescent="0.35">
      <c r="A328" s="42">
        <v>939</v>
      </c>
      <c r="B328" s="42" t="s">
        <v>136</v>
      </c>
      <c r="C328" s="42" t="s">
        <v>199</v>
      </c>
      <c r="D328" s="42" t="s">
        <v>159</v>
      </c>
      <c r="E328" s="42" t="s">
        <v>206</v>
      </c>
      <c r="F328" s="42" t="s">
        <v>206</v>
      </c>
      <c r="G328" s="42" t="s">
        <v>141</v>
      </c>
      <c r="H328" s="42" t="s">
        <v>177</v>
      </c>
      <c r="I328" s="42">
        <v>4</v>
      </c>
      <c r="J328" s="43" t="s">
        <v>143</v>
      </c>
      <c r="K328" s="42" t="s">
        <v>196</v>
      </c>
      <c r="L328" s="42" t="s">
        <v>217</v>
      </c>
      <c r="M328" s="44" t="s">
        <v>581</v>
      </c>
    </row>
    <row r="329" spans="1:13" x14ac:dyDescent="0.35">
      <c r="A329" s="42">
        <v>939</v>
      </c>
      <c r="B329" s="42" t="s">
        <v>136</v>
      </c>
      <c r="C329" s="42" t="s">
        <v>199</v>
      </c>
      <c r="D329" s="42" t="s">
        <v>159</v>
      </c>
      <c r="E329" s="42" t="s">
        <v>206</v>
      </c>
      <c r="F329" s="42" t="s">
        <v>206</v>
      </c>
      <c r="G329" s="42" t="s">
        <v>141</v>
      </c>
      <c r="H329" s="42" t="s">
        <v>146</v>
      </c>
      <c r="I329" s="42">
        <v>9</v>
      </c>
      <c r="J329" s="45" t="s">
        <v>147</v>
      </c>
      <c r="K329" s="42" t="s">
        <v>190</v>
      </c>
      <c r="L329" s="42" t="s">
        <v>190</v>
      </c>
      <c r="M329" s="44" t="s">
        <v>582</v>
      </c>
    </row>
    <row r="330" spans="1:13" x14ac:dyDescent="0.35">
      <c r="A330" s="42">
        <v>939</v>
      </c>
      <c r="B330" s="42" t="s">
        <v>136</v>
      </c>
      <c r="C330" s="42" t="s">
        <v>199</v>
      </c>
      <c r="D330" s="42" t="s">
        <v>159</v>
      </c>
      <c r="E330" s="42" t="s">
        <v>206</v>
      </c>
      <c r="F330" s="42" t="s">
        <v>206</v>
      </c>
      <c r="G330" s="42" t="s">
        <v>141</v>
      </c>
      <c r="H330" s="42" t="s">
        <v>150</v>
      </c>
      <c r="I330" s="42"/>
      <c r="J330" s="45" t="s">
        <v>147</v>
      </c>
      <c r="K330" s="42" t="s">
        <v>210</v>
      </c>
      <c r="L330" s="42" t="s">
        <v>210</v>
      </c>
      <c r="M330" s="44" t="s">
        <v>583</v>
      </c>
    </row>
    <row r="331" spans="1:13" x14ac:dyDescent="0.35">
      <c r="A331" s="42">
        <v>939</v>
      </c>
      <c r="B331" s="42" t="s">
        <v>136</v>
      </c>
      <c r="C331" s="42" t="s">
        <v>199</v>
      </c>
      <c r="D331" s="42" t="s">
        <v>159</v>
      </c>
      <c r="E331" s="42" t="s">
        <v>206</v>
      </c>
      <c r="F331" s="42" t="s">
        <v>206</v>
      </c>
      <c r="G331" s="42" t="s">
        <v>141</v>
      </c>
      <c r="H331" s="42" t="s">
        <v>150</v>
      </c>
      <c r="I331" s="42"/>
      <c r="J331" s="45" t="s">
        <v>147</v>
      </c>
      <c r="K331" s="42" t="s">
        <v>78</v>
      </c>
      <c r="L331" s="42" t="s">
        <v>335</v>
      </c>
      <c r="M331" s="44" t="s">
        <v>584</v>
      </c>
    </row>
    <row r="332" spans="1:13" x14ac:dyDescent="0.35">
      <c r="A332" s="42">
        <v>939</v>
      </c>
      <c r="B332" s="42" t="s">
        <v>136</v>
      </c>
      <c r="C332" s="42" t="s">
        <v>199</v>
      </c>
      <c r="D332" s="42" t="s">
        <v>159</v>
      </c>
      <c r="E332" s="42" t="s">
        <v>206</v>
      </c>
      <c r="F332" s="42" t="s">
        <v>206</v>
      </c>
      <c r="G332" s="42" t="s">
        <v>141</v>
      </c>
      <c r="H332" s="42" t="s">
        <v>150</v>
      </c>
      <c r="I332" s="42"/>
      <c r="J332" s="45" t="s">
        <v>147</v>
      </c>
      <c r="K332" s="42" t="s">
        <v>144</v>
      </c>
      <c r="L332" s="42" t="s">
        <v>144</v>
      </c>
      <c r="M332" s="44" t="s">
        <v>585</v>
      </c>
    </row>
    <row r="333" spans="1:13" x14ac:dyDescent="0.35">
      <c r="A333" s="42">
        <v>939</v>
      </c>
      <c r="B333" s="42" t="s">
        <v>136</v>
      </c>
      <c r="C333" s="42" t="s">
        <v>199</v>
      </c>
      <c r="D333" s="42" t="s">
        <v>159</v>
      </c>
      <c r="E333" s="42" t="s">
        <v>206</v>
      </c>
      <c r="F333" s="42" t="s">
        <v>206</v>
      </c>
      <c r="G333" s="42" t="s">
        <v>141</v>
      </c>
      <c r="H333" s="42" t="s">
        <v>156</v>
      </c>
      <c r="I333" s="42"/>
      <c r="J333" s="43" t="s">
        <v>143</v>
      </c>
      <c r="K333" s="42" t="s">
        <v>76</v>
      </c>
      <c r="L333" s="42" t="s">
        <v>76</v>
      </c>
      <c r="M333" s="44" t="s">
        <v>586</v>
      </c>
    </row>
    <row r="334" spans="1:13" x14ac:dyDescent="0.35">
      <c r="A334" s="42">
        <v>939</v>
      </c>
      <c r="B334" s="42" t="s">
        <v>136</v>
      </c>
      <c r="C334" s="42" t="s">
        <v>199</v>
      </c>
      <c r="D334" s="42" t="s">
        <v>159</v>
      </c>
      <c r="E334" s="42" t="s">
        <v>206</v>
      </c>
      <c r="F334" s="42" t="s">
        <v>206</v>
      </c>
      <c r="G334" s="42" t="s">
        <v>141</v>
      </c>
      <c r="H334" s="42" t="s">
        <v>156</v>
      </c>
      <c r="I334" s="42"/>
      <c r="J334" s="43" t="s">
        <v>143</v>
      </c>
      <c r="K334" s="42" t="s">
        <v>53</v>
      </c>
      <c r="L334" s="42" t="s">
        <v>289</v>
      </c>
      <c r="M334" s="44" t="s">
        <v>587</v>
      </c>
    </row>
    <row r="335" spans="1:13" ht="25" x14ac:dyDescent="0.35">
      <c r="A335" s="42">
        <v>944</v>
      </c>
      <c r="B335" s="42" t="s">
        <v>136</v>
      </c>
      <c r="C335" s="42" t="s">
        <v>199</v>
      </c>
      <c r="D335" s="42" t="s">
        <v>159</v>
      </c>
      <c r="E335" s="42" t="s">
        <v>139</v>
      </c>
      <c r="F335" s="42" t="s">
        <v>140</v>
      </c>
      <c r="G335" s="42" t="s">
        <v>141</v>
      </c>
      <c r="H335" s="42" t="s">
        <v>146</v>
      </c>
      <c r="I335" s="42">
        <v>9</v>
      </c>
      <c r="J335" s="45" t="s">
        <v>147</v>
      </c>
      <c r="K335" s="42" t="s">
        <v>78</v>
      </c>
      <c r="L335" s="42" t="s">
        <v>78</v>
      </c>
      <c r="M335" s="44" t="s">
        <v>588</v>
      </c>
    </row>
    <row r="336" spans="1:13" x14ac:dyDescent="0.35">
      <c r="A336" s="42">
        <v>944</v>
      </c>
      <c r="B336" s="42" t="s">
        <v>136</v>
      </c>
      <c r="C336" s="42" t="s">
        <v>199</v>
      </c>
      <c r="D336" s="42" t="s">
        <v>159</v>
      </c>
      <c r="E336" s="42" t="s">
        <v>139</v>
      </c>
      <c r="F336" s="42" t="s">
        <v>140</v>
      </c>
      <c r="G336" s="42" t="s">
        <v>141</v>
      </c>
      <c r="H336" s="42" t="s">
        <v>150</v>
      </c>
      <c r="I336" s="42"/>
      <c r="J336" s="45" t="s">
        <v>147</v>
      </c>
      <c r="K336" s="42" t="s">
        <v>210</v>
      </c>
      <c r="L336" s="42" t="s">
        <v>210</v>
      </c>
      <c r="M336" s="44" t="s">
        <v>589</v>
      </c>
    </row>
    <row r="337" spans="1:13" x14ac:dyDescent="0.35">
      <c r="A337" s="42">
        <v>944</v>
      </c>
      <c r="B337" s="42" t="s">
        <v>136</v>
      </c>
      <c r="C337" s="42" t="s">
        <v>199</v>
      </c>
      <c r="D337" s="42" t="s">
        <v>159</v>
      </c>
      <c r="E337" s="42" t="s">
        <v>139</v>
      </c>
      <c r="F337" s="42" t="s">
        <v>140</v>
      </c>
      <c r="G337" s="42" t="s">
        <v>141</v>
      </c>
      <c r="H337" s="42" t="s">
        <v>150</v>
      </c>
      <c r="I337" s="42"/>
      <c r="J337" s="45" t="s">
        <v>147</v>
      </c>
      <c r="K337" s="42" t="s">
        <v>210</v>
      </c>
      <c r="L337" s="42" t="s">
        <v>210</v>
      </c>
      <c r="M337" s="44" t="s">
        <v>590</v>
      </c>
    </row>
    <row r="338" spans="1:13" x14ac:dyDescent="0.35">
      <c r="A338" s="42">
        <v>944</v>
      </c>
      <c r="B338" s="42" t="s">
        <v>136</v>
      </c>
      <c r="C338" s="42" t="s">
        <v>199</v>
      </c>
      <c r="D338" s="42" t="s">
        <v>159</v>
      </c>
      <c r="E338" s="42" t="s">
        <v>139</v>
      </c>
      <c r="F338" s="42" t="s">
        <v>140</v>
      </c>
      <c r="G338" s="42" t="s">
        <v>141</v>
      </c>
      <c r="H338" s="42" t="s">
        <v>150</v>
      </c>
      <c r="I338" s="42"/>
      <c r="J338" s="45" t="s">
        <v>147</v>
      </c>
      <c r="K338" s="42" t="s">
        <v>196</v>
      </c>
      <c r="L338" s="42" t="s">
        <v>517</v>
      </c>
      <c r="M338" s="44" t="s">
        <v>591</v>
      </c>
    </row>
    <row r="339" spans="1:13" x14ac:dyDescent="0.35">
      <c r="A339" s="42">
        <v>944</v>
      </c>
      <c r="B339" s="42" t="s">
        <v>136</v>
      </c>
      <c r="C339" s="42" t="s">
        <v>199</v>
      </c>
      <c r="D339" s="42" t="s">
        <v>159</v>
      </c>
      <c r="E339" s="42" t="s">
        <v>139</v>
      </c>
      <c r="F339" s="42" t="s">
        <v>140</v>
      </c>
      <c r="G339" s="42" t="s">
        <v>141</v>
      </c>
      <c r="H339" s="42" t="s">
        <v>156</v>
      </c>
      <c r="I339" s="42"/>
      <c r="J339" s="43" t="s">
        <v>143</v>
      </c>
      <c r="K339" s="42" t="s">
        <v>144</v>
      </c>
      <c r="L339" s="42" t="s">
        <v>144</v>
      </c>
      <c r="M339" s="44" t="s">
        <v>592</v>
      </c>
    </row>
    <row r="340" spans="1:13" x14ac:dyDescent="0.35">
      <c r="A340" s="42">
        <v>944</v>
      </c>
      <c r="B340" s="42" t="s">
        <v>136</v>
      </c>
      <c r="C340" s="42" t="s">
        <v>199</v>
      </c>
      <c r="D340" s="42" t="s">
        <v>159</v>
      </c>
      <c r="E340" s="42" t="s">
        <v>139</v>
      </c>
      <c r="F340" s="42" t="s">
        <v>140</v>
      </c>
      <c r="G340" s="42" t="s">
        <v>141</v>
      </c>
      <c r="H340" s="42" t="s">
        <v>156</v>
      </c>
      <c r="I340" s="42"/>
      <c r="J340" s="43" t="s">
        <v>143</v>
      </c>
      <c r="K340" s="42" t="s">
        <v>78</v>
      </c>
      <c r="L340" s="42" t="s">
        <v>78</v>
      </c>
      <c r="M340" s="44" t="s">
        <v>593</v>
      </c>
    </row>
    <row r="341" spans="1:13" x14ac:dyDescent="0.35">
      <c r="A341" s="42">
        <v>944</v>
      </c>
      <c r="B341" s="42" t="s">
        <v>136</v>
      </c>
      <c r="C341" s="42" t="s">
        <v>199</v>
      </c>
      <c r="D341" s="42" t="s">
        <v>159</v>
      </c>
      <c r="E341" s="42" t="s">
        <v>139</v>
      </c>
      <c r="F341" s="42" t="s">
        <v>140</v>
      </c>
      <c r="G341" s="42" t="s">
        <v>141</v>
      </c>
      <c r="H341" s="42" t="s">
        <v>156</v>
      </c>
      <c r="I341" s="42"/>
      <c r="J341" s="43" t="s">
        <v>143</v>
      </c>
      <c r="K341" s="42" t="s">
        <v>76</v>
      </c>
      <c r="L341" s="42" t="s">
        <v>76</v>
      </c>
      <c r="M341" s="44" t="s">
        <v>594</v>
      </c>
    </row>
    <row r="342" spans="1:13" x14ac:dyDescent="0.35">
      <c r="A342" s="42">
        <v>1118</v>
      </c>
      <c r="B342" s="42" t="s">
        <v>136</v>
      </c>
      <c r="C342" s="42" t="s">
        <v>137</v>
      </c>
      <c r="D342" s="42" t="s">
        <v>159</v>
      </c>
      <c r="E342" s="42" t="s">
        <v>160</v>
      </c>
      <c r="F342" s="42" t="s">
        <v>160</v>
      </c>
      <c r="G342" s="42" t="s">
        <v>141</v>
      </c>
      <c r="H342" s="42" t="s">
        <v>183</v>
      </c>
      <c r="I342" s="42">
        <v>5</v>
      </c>
      <c r="J342" s="43" t="s">
        <v>143</v>
      </c>
      <c r="K342" s="42" t="s">
        <v>184</v>
      </c>
      <c r="L342" s="42" t="s">
        <v>184</v>
      </c>
      <c r="M342" s="44" t="s">
        <v>595</v>
      </c>
    </row>
    <row r="343" spans="1:13" ht="37.5" x14ac:dyDescent="0.35">
      <c r="A343" s="42">
        <v>1118</v>
      </c>
      <c r="B343" s="42" t="s">
        <v>136</v>
      </c>
      <c r="C343" s="42" t="s">
        <v>137</v>
      </c>
      <c r="D343" s="42" t="s">
        <v>159</v>
      </c>
      <c r="E343" s="42" t="s">
        <v>160</v>
      </c>
      <c r="F343" s="42" t="s">
        <v>160</v>
      </c>
      <c r="G343" s="42" t="s">
        <v>141</v>
      </c>
      <c r="H343" s="42" t="s">
        <v>146</v>
      </c>
      <c r="I343" s="42">
        <v>8</v>
      </c>
      <c r="J343" s="46" t="s">
        <v>222</v>
      </c>
      <c r="K343" s="42" t="s">
        <v>144</v>
      </c>
      <c r="L343" s="42" t="s">
        <v>596</v>
      </c>
      <c r="M343" s="44" t="s">
        <v>597</v>
      </c>
    </row>
    <row r="344" spans="1:13" x14ac:dyDescent="0.35">
      <c r="A344" s="42">
        <v>1118</v>
      </c>
      <c r="B344" s="42" t="s">
        <v>136</v>
      </c>
      <c r="C344" s="42" t="s">
        <v>137</v>
      </c>
      <c r="D344" s="42" t="s">
        <v>159</v>
      </c>
      <c r="E344" s="42" t="s">
        <v>160</v>
      </c>
      <c r="F344" s="42" t="s">
        <v>160</v>
      </c>
      <c r="G344" s="42" t="s">
        <v>141</v>
      </c>
      <c r="H344" s="42" t="s">
        <v>150</v>
      </c>
      <c r="I344" s="42"/>
      <c r="J344" s="45" t="s">
        <v>147</v>
      </c>
      <c r="K344" s="42" t="s">
        <v>82</v>
      </c>
      <c r="L344" s="42" t="s">
        <v>254</v>
      </c>
      <c r="M344" s="44" t="s">
        <v>598</v>
      </c>
    </row>
    <row r="345" spans="1:13" x14ac:dyDescent="0.35">
      <c r="A345" s="42">
        <v>1118</v>
      </c>
      <c r="B345" s="42" t="s">
        <v>136</v>
      </c>
      <c r="C345" s="42" t="s">
        <v>137</v>
      </c>
      <c r="D345" s="42" t="s">
        <v>159</v>
      </c>
      <c r="E345" s="42" t="s">
        <v>160</v>
      </c>
      <c r="F345" s="42" t="s">
        <v>160</v>
      </c>
      <c r="G345" s="42" t="s">
        <v>141</v>
      </c>
      <c r="H345" s="42" t="s">
        <v>150</v>
      </c>
      <c r="I345" s="42"/>
      <c r="J345" s="45" t="s">
        <v>147</v>
      </c>
      <c r="K345" s="42" t="s">
        <v>190</v>
      </c>
      <c r="L345" s="42" t="s">
        <v>190</v>
      </c>
      <c r="M345" s="44" t="s">
        <v>599</v>
      </c>
    </row>
    <row r="346" spans="1:13" x14ac:dyDescent="0.35">
      <c r="A346" s="42">
        <v>1118</v>
      </c>
      <c r="B346" s="42" t="s">
        <v>136</v>
      </c>
      <c r="C346" s="42" t="s">
        <v>137</v>
      </c>
      <c r="D346" s="42" t="s">
        <v>159</v>
      </c>
      <c r="E346" s="42" t="s">
        <v>160</v>
      </c>
      <c r="F346" s="42" t="s">
        <v>160</v>
      </c>
      <c r="G346" s="42" t="s">
        <v>141</v>
      </c>
      <c r="H346" s="42" t="s">
        <v>150</v>
      </c>
      <c r="I346" s="42"/>
      <c r="J346" s="45" t="s">
        <v>147</v>
      </c>
      <c r="K346" s="42" t="s">
        <v>196</v>
      </c>
      <c r="L346" s="42" t="s">
        <v>525</v>
      </c>
      <c r="M346" s="44" t="s">
        <v>600</v>
      </c>
    </row>
    <row r="347" spans="1:13" x14ac:dyDescent="0.35">
      <c r="A347" s="42">
        <v>1118</v>
      </c>
      <c r="B347" s="42" t="s">
        <v>136</v>
      </c>
      <c r="C347" s="42" t="s">
        <v>137</v>
      </c>
      <c r="D347" s="42" t="s">
        <v>159</v>
      </c>
      <c r="E347" s="42" t="s">
        <v>160</v>
      </c>
      <c r="F347" s="42" t="s">
        <v>160</v>
      </c>
      <c r="G347" s="42" t="s">
        <v>141</v>
      </c>
      <c r="H347" s="42" t="s">
        <v>156</v>
      </c>
      <c r="I347" s="42"/>
      <c r="J347" s="43" t="s">
        <v>143</v>
      </c>
      <c r="K347" s="42" t="s">
        <v>196</v>
      </c>
      <c r="L347" s="42" t="s">
        <v>196</v>
      </c>
      <c r="M347" s="44" t="s">
        <v>601</v>
      </c>
    </row>
    <row r="348" spans="1:13" x14ac:dyDescent="0.35">
      <c r="A348" s="42">
        <v>1118</v>
      </c>
      <c r="B348" s="42" t="s">
        <v>136</v>
      </c>
      <c r="C348" s="42" t="s">
        <v>137</v>
      </c>
      <c r="D348" s="42" t="s">
        <v>159</v>
      </c>
      <c r="E348" s="42" t="s">
        <v>160</v>
      </c>
      <c r="F348" s="42" t="s">
        <v>160</v>
      </c>
      <c r="G348" s="42" t="s">
        <v>141</v>
      </c>
      <c r="H348" s="42" t="s">
        <v>156</v>
      </c>
      <c r="I348" s="42"/>
      <c r="J348" s="43" t="s">
        <v>143</v>
      </c>
      <c r="K348" s="42" t="s">
        <v>53</v>
      </c>
      <c r="L348" s="42" t="s">
        <v>291</v>
      </c>
      <c r="M348" s="44" t="s">
        <v>602</v>
      </c>
    </row>
    <row r="349" spans="1:13" x14ac:dyDescent="0.35">
      <c r="A349" s="42">
        <v>1118</v>
      </c>
      <c r="B349" s="42" t="s">
        <v>136</v>
      </c>
      <c r="C349" s="42" t="s">
        <v>137</v>
      </c>
      <c r="D349" s="42" t="s">
        <v>159</v>
      </c>
      <c r="E349" s="42" t="s">
        <v>160</v>
      </c>
      <c r="F349" s="42" t="s">
        <v>160</v>
      </c>
      <c r="G349" s="42" t="s">
        <v>141</v>
      </c>
      <c r="H349" s="42" t="s">
        <v>156</v>
      </c>
      <c r="I349" s="42"/>
      <c r="J349" s="43" t="s">
        <v>143</v>
      </c>
      <c r="K349" s="42" t="s">
        <v>333</v>
      </c>
      <c r="L349" s="42" t="s">
        <v>603</v>
      </c>
      <c r="M349" s="44" t="s">
        <v>604</v>
      </c>
    </row>
    <row r="350" spans="1:13" ht="50" x14ac:dyDescent="0.35">
      <c r="A350" s="42">
        <v>1143</v>
      </c>
      <c r="B350" s="42" t="s">
        <v>136</v>
      </c>
      <c r="C350" s="42" t="s">
        <v>137</v>
      </c>
      <c r="D350" s="42" t="s">
        <v>159</v>
      </c>
      <c r="E350" s="42" t="s">
        <v>160</v>
      </c>
      <c r="F350" s="42" t="s">
        <v>160</v>
      </c>
      <c r="G350" s="42" t="s">
        <v>141</v>
      </c>
      <c r="H350" s="42" t="s">
        <v>146</v>
      </c>
      <c r="I350" s="42">
        <v>8</v>
      </c>
      <c r="J350" s="46" t="s">
        <v>222</v>
      </c>
      <c r="K350" s="42" t="s">
        <v>196</v>
      </c>
      <c r="L350" s="42" t="s">
        <v>605</v>
      </c>
      <c r="M350" s="44" t="s">
        <v>606</v>
      </c>
    </row>
    <row r="351" spans="1:13" x14ac:dyDescent="0.35">
      <c r="A351" s="42">
        <v>1143</v>
      </c>
      <c r="B351" s="42" t="s">
        <v>136</v>
      </c>
      <c r="C351" s="42" t="s">
        <v>137</v>
      </c>
      <c r="D351" s="42" t="s">
        <v>159</v>
      </c>
      <c r="E351" s="42" t="s">
        <v>160</v>
      </c>
      <c r="F351" s="42" t="s">
        <v>160</v>
      </c>
      <c r="G351" s="42" t="s">
        <v>141</v>
      </c>
      <c r="H351" s="42" t="s">
        <v>150</v>
      </c>
      <c r="I351" s="42"/>
      <c r="J351" s="45" t="s">
        <v>147</v>
      </c>
      <c r="K351" s="42" t="s">
        <v>144</v>
      </c>
      <c r="L351" s="42" t="s">
        <v>250</v>
      </c>
      <c r="M351" s="44" t="s">
        <v>607</v>
      </c>
    </row>
    <row r="352" spans="1:13" x14ac:dyDescent="0.35">
      <c r="A352" s="42">
        <v>1143</v>
      </c>
      <c r="B352" s="42" t="s">
        <v>136</v>
      </c>
      <c r="C352" s="42" t="s">
        <v>137</v>
      </c>
      <c r="D352" s="42" t="s">
        <v>159</v>
      </c>
      <c r="E352" s="42" t="s">
        <v>160</v>
      </c>
      <c r="F352" s="42" t="s">
        <v>160</v>
      </c>
      <c r="G352" s="42" t="s">
        <v>141</v>
      </c>
      <c r="H352" s="42" t="s">
        <v>150</v>
      </c>
      <c r="I352" s="42"/>
      <c r="J352" s="45" t="s">
        <v>147</v>
      </c>
      <c r="K352" s="42" t="s">
        <v>181</v>
      </c>
      <c r="L352" s="42" t="s">
        <v>181</v>
      </c>
      <c r="M352" s="44" t="s">
        <v>608</v>
      </c>
    </row>
    <row r="353" spans="1:13" x14ac:dyDescent="0.35">
      <c r="A353" s="42">
        <v>1143</v>
      </c>
      <c r="B353" s="42" t="s">
        <v>136</v>
      </c>
      <c r="C353" s="42" t="s">
        <v>137</v>
      </c>
      <c r="D353" s="42" t="s">
        <v>159</v>
      </c>
      <c r="E353" s="42" t="s">
        <v>160</v>
      </c>
      <c r="F353" s="42" t="s">
        <v>160</v>
      </c>
      <c r="G353" s="42" t="s">
        <v>141</v>
      </c>
      <c r="H353" s="42" t="s">
        <v>156</v>
      </c>
      <c r="I353" s="42"/>
      <c r="J353" s="43" t="s">
        <v>143</v>
      </c>
      <c r="K353" s="42" t="s">
        <v>78</v>
      </c>
      <c r="L353" s="42" t="s">
        <v>335</v>
      </c>
      <c r="M353" s="44" t="s">
        <v>609</v>
      </c>
    </row>
    <row r="354" spans="1:13" x14ac:dyDescent="0.35">
      <c r="A354" s="42">
        <v>1143</v>
      </c>
      <c r="B354" s="42" t="s">
        <v>136</v>
      </c>
      <c r="C354" s="42" t="s">
        <v>137</v>
      </c>
      <c r="D354" s="42" t="s">
        <v>159</v>
      </c>
      <c r="E354" s="42" t="s">
        <v>160</v>
      </c>
      <c r="F354" s="42" t="s">
        <v>160</v>
      </c>
      <c r="G354" s="42" t="s">
        <v>141</v>
      </c>
      <c r="H354" s="42" t="s">
        <v>156</v>
      </c>
      <c r="I354" s="42"/>
      <c r="J354" s="43" t="s">
        <v>143</v>
      </c>
      <c r="K354" s="42" t="s">
        <v>196</v>
      </c>
      <c r="L354" s="42" t="s">
        <v>517</v>
      </c>
      <c r="M354" s="44" t="s">
        <v>610</v>
      </c>
    </row>
    <row r="355" spans="1:13" x14ac:dyDescent="0.35">
      <c r="A355" s="42">
        <v>1143</v>
      </c>
      <c r="B355" s="42" t="s">
        <v>136</v>
      </c>
      <c r="C355" s="42" t="s">
        <v>137</v>
      </c>
      <c r="D355" s="42" t="s">
        <v>159</v>
      </c>
      <c r="E355" s="42" t="s">
        <v>160</v>
      </c>
      <c r="F355" s="42" t="s">
        <v>160</v>
      </c>
      <c r="G355" s="42" t="s">
        <v>141</v>
      </c>
      <c r="H355" s="42" t="s">
        <v>156</v>
      </c>
      <c r="I355" s="42"/>
      <c r="J355" s="43" t="s">
        <v>143</v>
      </c>
      <c r="K355" s="42" t="s">
        <v>181</v>
      </c>
      <c r="L355" s="42" t="s">
        <v>337</v>
      </c>
      <c r="M355" s="44" t="s">
        <v>611</v>
      </c>
    </row>
    <row r="356" spans="1:13" x14ac:dyDescent="0.35">
      <c r="A356" s="42">
        <v>950</v>
      </c>
      <c r="B356" s="42" t="s">
        <v>136</v>
      </c>
      <c r="C356" s="42" t="s">
        <v>137</v>
      </c>
      <c r="D356" s="42" t="s">
        <v>176</v>
      </c>
      <c r="E356" s="42" t="s">
        <v>274</v>
      </c>
      <c r="F356" s="42" t="s">
        <v>140</v>
      </c>
      <c r="G356" s="42" t="s">
        <v>141</v>
      </c>
      <c r="H356" s="42" t="s">
        <v>163</v>
      </c>
      <c r="I356" s="42"/>
      <c r="J356" s="45" t="s">
        <v>147</v>
      </c>
      <c r="K356" s="42" t="s">
        <v>144</v>
      </c>
      <c r="L356" s="42" t="s">
        <v>612</v>
      </c>
      <c r="M356" s="44" t="s">
        <v>613</v>
      </c>
    </row>
    <row r="357" spans="1:13" ht="25" x14ac:dyDescent="0.35">
      <c r="A357" s="42">
        <v>950</v>
      </c>
      <c r="B357" s="42" t="s">
        <v>136</v>
      </c>
      <c r="C357" s="42" t="s">
        <v>137</v>
      </c>
      <c r="D357" s="42" t="s">
        <v>176</v>
      </c>
      <c r="E357" s="42" t="s">
        <v>274</v>
      </c>
      <c r="F357" s="42" t="s">
        <v>140</v>
      </c>
      <c r="G357" s="42" t="s">
        <v>141</v>
      </c>
      <c r="H357" s="42" t="s">
        <v>180</v>
      </c>
      <c r="I357" s="42">
        <v>6</v>
      </c>
      <c r="J357" s="43" t="s">
        <v>143</v>
      </c>
      <c r="K357" s="42" t="s">
        <v>196</v>
      </c>
      <c r="L357" s="42" t="s">
        <v>614</v>
      </c>
      <c r="M357" s="44" t="s">
        <v>615</v>
      </c>
    </row>
    <row r="358" spans="1:13" x14ac:dyDescent="0.35">
      <c r="A358" s="42">
        <v>950</v>
      </c>
      <c r="B358" s="42" t="s">
        <v>136</v>
      </c>
      <c r="C358" s="42" t="s">
        <v>137</v>
      </c>
      <c r="D358" s="42" t="s">
        <v>176</v>
      </c>
      <c r="E358" s="42" t="s">
        <v>274</v>
      </c>
      <c r="F358" s="42" t="s">
        <v>140</v>
      </c>
      <c r="G358" s="42" t="s">
        <v>141</v>
      </c>
      <c r="H358" s="42" t="s">
        <v>146</v>
      </c>
      <c r="I358" s="42">
        <v>10</v>
      </c>
      <c r="J358" s="45" t="s">
        <v>147</v>
      </c>
      <c r="K358" s="42" t="s">
        <v>76</v>
      </c>
      <c r="L358" s="42" t="s">
        <v>616</v>
      </c>
      <c r="M358" s="44" t="s">
        <v>617</v>
      </c>
    </row>
    <row r="359" spans="1:13" x14ac:dyDescent="0.35">
      <c r="A359" s="42">
        <v>950</v>
      </c>
      <c r="B359" s="42" t="s">
        <v>136</v>
      </c>
      <c r="C359" s="42" t="s">
        <v>137</v>
      </c>
      <c r="D359" s="42" t="s">
        <v>176</v>
      </c>
      <c r="E359" s="42" t="s">
        <v>274</v>
      </c>
      <c r="F359" s="42" t="s">
        <v>140</v>
      </c>
      <c r="G359" s="42" t="s">
        <v>141</v>
      </c>
      <c r="H359" s="42" t="s">
        <v>150</v>
      </c>
      <c r="I359" s="42"/>
      <c r="J359" s="45" t="s">
        <v>147</v>
      </c>
      <c r="K359" s="42" t="s">
        <v>76</v>
      </c>
      <c r="L359" s="42" t="s">
        <v>618</v>
      </c>
      <c r="M359" s="44" t="s">
        <v>619</v>
      </c>
    </row>
    <row r="360" spans="1:13" x14ac:dyDescent="0.35">
      <c r="A360" s="42">
        <v>950</v>
      </c>
      <c r="B360" s="42" t="s">
        <v>136</v>
      </c>
      <c r="C360" s="42" t="s">
        <v>137</v>
      </c>
      <c r="D360" s="42" t="s">
        <v>176</v>
      </c>
      <c r="E360" s="42" t="s">
        <v>274</v>
      </c>
      <c r="F360" s="42" t="s">
        <v>140</v>
      </c>
      <c r="G360" s="42" t="s">
        <v>141</v>
      </c>
      <c r="H360" s="42" t="s">
        <v>156</v>
      </c>
      <c r="I360" s="42"/>
      <c r="J360" s="43" t="s">
        <v>143</v>
      </c>
      <c r="K360" s="42" t="s">
        <v>78</v>
      </c>
      <c r="L360" s="42" t="s">
        <v>620</v>
      </c>
      <c r="M360" s="44" t="s">
        <v>621</v>
      </c>
    </row>
    <row r="361" spans="1:13" ht="25" x14ac:dyDescent="0.35">
      <c r="A361" s="42">
        <v>950</v>
      </c>
      <c r="B361" s="42" t="s">
        <v>136</v>
      </c>
      <c r="C361" s="42" t="s">
        <v>137</v>
      </c>
      <c r="D361" s="42" t="s">
        <v>176</v>
      </c>
      <c r="E361" s="42" t="s">
        <v>274</v>
      </c>
      <c r="F361" s="42" t="s">
        <v>140</v>
      </c>
      <c r="G361" s="42" t="s">
        <v>141</v>
      </c>
      <c r="H361" s="42" t="s">
        <v>156</v>
      </c>
      <c r="I361" s="42"/>
      <c r="J361" s="43" t="s">
        <v>143</v>
      </c>
      <c r="K361" s="42" t="s">
        <v>144</v>
      </c>
      <c r="L361" s="42" t="s">
        <v>250</v>
      </c>
      <c r="M361" s="44" t="s">
        <v>622</v>
      </c>
    </row>
    <row r="362" spans="1:13" ht="25" x14ac:dyDescent="0.35">
      <c r="A362" s="42">
        <v>950</v>
      </c>
      <c r="B362" s="42" t="s">
        <v>136</v>
      </c>
      <c r="C362" s="42" t="s">
        <v>137</v>
      </c>
      <c r="D362" s="42" t="s">
        <v>176</v>
      </c>
      <c r="E362" s="42" t="s">
        <v>274</v>
      </c>
      <c r="F362" s="42" t="s">
        <v>140</v>
      </c>
      <c r="G362" s="42" t="s">
        <v>141</v>
      </c>
      <c r="H362" s="42" t="s">
        <v>156</v>
      </c>
      <c r="I362" s="42"/>
      <c r="J362" s="43" t="s">
        <v>143</v>
      </c>
      <c r="K362" s="42" t="s">
        <v>196</v>
      </c>
      <c r="L362" s="42" t="s">
        <v>614</v>
      </c>
      <c r="M362" s="44" t="s">
        <v>623</v>
      </c>
    </row>
    <row r="363" spans="1:13" x14ac:dyDescent="0.35">
      <c r="A363" s="42">
        <v>951</v>
      </c>
      <c r="B363" s="42" t="s">
        <v>136</v>
      </c>
      <c r="C363" s="42" t="s">
        <v>199</v>
      </c>
      <c r="D363" s="42" t="s">
        <v>159</v>
      </c>
      <c r="E363" s="42" t="s">
        <v>274</v>
      </c>
      <c r="F363" s="42" t="s">
        <v>140</v>
      </c>
      <c r="G363" s="42" t="s">
        <v>141</v>
      </c>
      <c r="H363" s="42" t="s">
        <v>177</v>
      </c>
      <c r="I363" s="42">
        <v>4</v>
      </c>
      <c r="J363" s="43" t="s">
        <v>143</v>
      </c>
      <c r="K363" s="42" t="s">
        <v>196</v>
      </c>
      <c r="L363" s="42" t="s">
        <v>196</v>
      </c>
      <c r="M363" s="44" t="s">
        <v>624</v>
      </c>
    </row>
    <row r="364" spans="1:13" x14ac:dyDescent="0.35">
      <c r="A364" s="42">
        <v>951</v>
      </c>
      <c r="B364" s="42" t="s">
        <v>136</v>
      </c>
      <c r="C364" s="42" t="s">
        <v>199</v>
      </c>
      <c r="D364" s="42" t="s">
        <v>159</v>
      </c>
      <c r="E364" s="42" t="s">
        <v>274</v>
      </c>
      <c r="F364" s="42" t="s">
        <v>140</v>
      </c>
      <c r="G364" s="42" t="s">
        <v>141</v>
      </c>
      <c r="H364" s="42" t="s">
        <v>180</v>
      </c>
      <c r="I364" s="42">
        <v>4</v>
      </c>
      <c r="J364" s="43" t="s">
        <v>143</v>
      </c>
      <c r="K364" s="42" t="s">
        <v>196</v>
      </c>
      <c r="L364" s="42" t="s">
        <v>196</v>
      </c>
      <c r="M364" s="44" t="s">
        <v>625</v>
      </c>
    </row>
    <row r="365" spans="1:13" x14ac:dyDescent="0.35">
      <c r="A365" s="42">
        <v>951</v>
      </c>
      <c r="B365" s="42" t="s">
        <v>136</v>
      </c>
      <c r="C365" s="42" t="s">
        <v>199</v>
      </c>
      <c r="D365" s="42" t="s">
        <v>159</v>
      </c>
      <c r="E365" s="42" t="s">
        <v>274</v>
      </c>
      <c r="F365" s="42" t="s">
        <v>140</v>
      </c>
      <c r="G365" s="42" t="s">
        <v>141</v>
      </c>
      <c r="H365" s="42" t="s">
        <v>183</v>
      </c>
      <c r="I365" s="42">
        <v>6</v>
      </c>
      <c r="J365" s="43" t="s">
        <v>143</v>
      </c>
      <c r="K365" s="42" t="s">
        <v>184</v>
      </c>
      <c r="L365" s="42" t="s">
        <v>626</v>
      </c>
      <c r="M365" s="44" t="s">
        <v>627</v>
      </c>
    </row>
    <row r="366" spans="1:13" x14ac:dyDescent="0.35">
      <c r="A366" s="42">
        <v>951</v>
      </c>
      <c r="B366" s="42" t="s">
        <v>136</v>
      </c>
      <c r="C366" s="42" t="s">
        <v>199</v>
      </c>
      <c r="D366" s="42" t="s">
        <v>159</v>
      </c>
      <c r="E366" s="42" t="s">
        <v>274</v>
      </c>
      <c r="F366" s="42" t="s">
        <v>140</v>
      </c>
      <c r="G366" s="42" t="s">
        <v>141</v>
      </c>
      <c r="H366" s="42" t="s">
        <v>146</v>
      </c>
      <c r="I366" s="42">
        <v>7</v>
      </c>
      <c r="J366" s="46" t="s">
        <v>222</v>
      </c>
      <c r="K366" s="42" t="s">
        <v>210</v>
      </c>
      <c r="L366" s="42" t="s">
        <v>210</v>
      </c>
      <c r="M366" s="44" t="s">
        <v>628</v>
      </c>
    </row>
    <row r="367" spans="1:13" x14ac:dyDescent="0.35">
      <c r="A367" s="42">
        <v>951</v>
      </c>
      <c r="B367" s="42" t="s">
        <v>136</v>
      </c>
      <c r="C367" s="42" t="s">
        <v>199</v>
      </c>
      <c r="D367" s="42" t="s">
        <v>159</v>
      </c>
      <c r="E367" s="42" t="s">
        <v>274</v>
      </c>
      <c r="F367" s="42" t="s">
        <v>140</v>
      </c>
      <c r="G367" s="42" t="s">
        <v>141</v>
      </c>
      <c r="H367" s="42" t="s">
        <v>150</v>
      </c>
      <c r="I367" s="42"/>
      <c r="J367" s="45" t="s">
        <v>147</v>
      </c>
      <c r="K367" s="42" t="s">
        <v>78</v>
      </c>
      <c r="L367" s="42" t="s">
        <v>78</v>
      </c>
      <c r="M367" s="44" t="s">
        <v>629</v>
      </c>
    </row>
    <row r="368" spans="1:13" x14ac:dyDescent="0.35">
      <c r="A368" s="42">
        <v>951</v>
      </c>
      <c r="B368" s="42" t="s">
        <v>136</v>
      </c>
      <c r="C368" s="42" t="s">
        <v>199</v>
      </c>
      <c r="D368" s="42" t="s">
        <v>159</v>
      </c>
      <c r="E368" s="42" t="s">
        <v>274</v>
      </c>
      <c r="F368" s="42" t="s">
        <v>140</v>
      </c>
      <c r="G368" s="42" t="s">
        <v>141</v>
      </c>
      <c r="H368" s="42" t="s">
        <v>156</v>
      </c>
      <c r="I368" s="42"/>
      <c r="J368" s="43" t="s">
        <v>143</v>
      </c>
      <c r="K368" s="42" t="s">
        <v>78</v>
      </c>
      <c r="L368" s="42" t="s">
        <v>78</v>
      </c>
      <c r="M368" s="44" t="s">
        <v>630</v>
      </c>
    </row>
    <row r="369" spans="1:13" x14ac:dyDescent="0.35">
      <c r="A369" s="42">
        <v>951</v>
      </c>
      <c r="B369" s="42" t="s">
        <v>136</v>
      </c>
      <c r="C369" s="42" t="s">
        <v>199</v>
      </c>
      <c r="D369" s="42" t="s">
        <v>159</v>
      </c>
      <c r="E369" s="42" t="s">
        <v>274</v>
      </c>
      <c r="F369" s="42" t="s">
        <v>140</v>
      </c>
      <c r="G369" s="42" t="s">
        <v>141</v>
      </c>
      <c r="H369" s="42" t="s">
        <v>156</v>
      </c>
      <c r="I369" s="42"/>
      <c r="J369" s="43" t="s">
        <v>143</v>
      </c>
      <c r="K369" s="42" t="s">
        <v>78</v>
      </c>
      <c r="L369" s="42" t="s">
        <v>78</v>
      </c>
      <c r="M369" s="44" t="s">
        <v>631</v>
      </c>
    </row>
    <row r="370" spans="1:13" x14ac:dyDescent="0.35">
      <c r="A370" s="42">
        <v>951</v>
      </c>
      <c r="B370" s="42" t="s">
        <v>136</v>
      </c>
      <c r="C370" s="42" t="s">
        <v>199</v>
      </c>
      <c r="D370" s="42" t="s">
        <v>159</v>
      </c>
      <c r="E370" s="42" t="s">
        <v>274</v>
      </c>
      <c r="F370" s="42" t="s">
        <v>140</v>
      </c>
      <c r="G370" s="42" t="s">
        <v>141</v>
      </c>
      <c r="H370" s="42" t="s">
        <v>156</v>
      </c>
      <c r="I370" s="42"/>
      <c r="J370" s="43" t="s">
        <v>143</v>
      </c>
      <c r="K370" s="42" t="s">
        <v>196</v>
      </c>
      <c r="L370" s="42" t="s">
        <v>196</v>
      </c>
      <c r="M370" s="44" t="s">
        <v>632</v>
      </c>
    </row>
    <row r="371" spans="1:13" ht="37.5" x14ac:dyDescent="0.35">
      <c r="A371" s="42">
        <v>952</v>
      </c>
      <c r="B371" s="42" t="s">
        <v>136</v>
      </c>
      <c r="C371" s="42" t="s">
        <v>137</v>
      </c>
      <c r="D371" s="42" t="s">
        <v>219</v>
      </c>
      <c r="E371" s="42" t="s">
        <v>274</v>
      </c>
      <c r="F371" s="42" t="s">
        <v>140</v>
      </c>
      <c r="G371" s="42" t="s">
        <v>141</v>
      </c>
      <c r="H371" s="42" t="s">
        <v>142</v>
      </c>
      <c r="I371" s="42">
        <v>6</v>
      </c>
      <c r="J371" s="43" t="s">
        <v>143</v>
      </c>
      <c r="K371" s="42" t="s">
        <v>184</v>
      </c>
      <c r="L371" s="42" t="s">
        <v>633</v>
      </c>
      <c r="M371" s="44" t="s">
        <v>634</v>
      </c>
    </row>
    <row r="372" spans="1:13" x14ac:dyDescent="0.35">
      <c r="A372" s="42">
        <v>952</v>
      </c>
      <c r="B372" s="42" t="s">
        <v>136</v>
      </c>
      <c r="C372" s="42" t="s">
        <v>137</v>
      </c>
      <c r="D372" s="42" t="s">
        <v>219</v>
      </c>
      <c r="E372" s="42" t="s">
        <v>274</v>
      </c>
      <c r="F372" s="42" t="s">
        <v>140</v>
      </c>
      <c r="G372" s="42" t="s">
        <v>141</v>
      </c>
      <c r="H372" s="42" t="s">
        <v>163</v>
      </c>
      <c r="I372" s="42"/>
      <c r="J372" s="46" t="s">
        <v>222</v>
      </c>
      <c r="K372" s="42" t="s">
        <v>210</v>
      </c>
      <c r="L372" s="42" t="s">
        <v>210</v>
      </c>
      <c r="M372" s="44" t="s">
        <v>635</v>
      </c>
    </row>
    <row r="373" spans="1:13" ht="25" x14ac:dyDescent="0.35">
      <c r="A373" s="42">
        <v>952</v>
      </c>
      <c r="B373" s="42" t="s">
        <v>136</v>
      </c>
      <c r="C373" s="42" t="s">
        <v>137</v>
      </c>
      <c r="D373" s="42" t="s">
        <v>219</v>
      </c>
      <c r="E373" s="42" t="s">
        <v>274</v>
      </c>
      <c r="F373" s="42" t="s">
        <v>140</v>
      </c>
      <c r="G373" s="42" t="s">
        <v>141</v>
      </c>
      <c r="H373" s="42" t="s">
        <v>180</v>
      </c>
      <c r="I373" s="42">
        <v>6</v>
      </c>
      <c r="J373" s="43" t="s">
        <v>143</v>
      </c>
      <c r="K373" s="42" t="s">
        <v>262</v>
      </c>
      <c r="L373" s="42" t="s">
        <v>636</v>
      </c>
      <c r="M373" s="44" t="s">
        <v>637</v>
      </c>
    </row>
    <row r="374" spans="1:13" x14ac:dyDescent="0.35">
      <c r="A374" s="42">
        <v>952</v>
      </c>
      <c r="B374" s="42" t="s">
        <v>136</v>
      </c>
      <c r="C374" s="42" t="s">
        <v>137</v>
      </c>
      <c r="D374" s="42" t="s">
        <v>219</v>
      </c>
      <c r="E374" s="42" t="s">
        <v>274</v>
      </c>
      <c r="F374" s="42" t="s">
        <v>140</v>
      </c>
      <c r="G374" s="42" t="s">
        <v>141</v>
      </c>
      <c r="H374" s="42" t="s">
        <v>146</v>
      </c>
      <c r="I374" s="42">
        <v>5</v>
      </c>
      <c r="J374" s="43" t="s">
        <v>143</v>
      </c>
      <c r="K374" s="42" t="s">
        <v>210</v>
      </c>
      <c r="L374" s="42" t="s">
        <v>210</v>
      </c>
      <c r="M374" s="44" t="s">
        <v>638</v>
      </c>
    </row>
    <row r="375" spans="1:13" x14ac:dyDescent="0.35">
      <c r="A375" s="42">
        <v>952</v>
      </c>
      <c r="B375" s="42" t="s">
        <v>136</v>
      </c>
      <c r="C375" s="42" t="s">
        <v>137</v>
      </c>
      <c r="D375" s="42" t="s">
        <v>219</v>
      </c>
      <c r="E375" s="42" t="s">
        <v>274</v>
      </c>
      <c r="F375" s="42" t="s">
        <v>140</v>
      </c>
      <c r="G375" s="42" t="s">
        <v>141</v>
      </c>
      <c r="H375" s="42" t="s">
        <v>150</v>
      </c>
      <c r="I375" s="42"/>
      <c r="J375" s="45" t="s">
        <v>147</v>
      </c>
      <c r="K375" s="42" t="s">
        <v>210</v>
      </c>
      <c r="L375" s="42" t="s">
        <v>210</v>
      </c>
      <c r="M375" s="44" t="s">
        <v>639</v>
      </c>
    </row>
    <row r="376" spans="1:13" x14ac:dyDescent="0.35">
      <c r="A376" s="42">
        <v>952</v>
      </c>
      <c r="B376" s="42" t="s">
        <v>136</v>
      </c>
      <c r="C376" s="42" t="s">
        <v>137</v>
      </c>
      <c r="D376" s="42" t="s">
        <v>219</v>
      </c>
      <c r="E376" s="42" t="s">
        <v>274</v>
      </c>
      <c r="F376" s="42" t="s">
        <v>140</v>
      </c>
      <c r="G376" s="42" t="s">
        <v>141</v>
      </c>
      <c r="H376" s="42" t="s">
        <v>150</v>
      </c>
      <c r="I376" s="42"/>
      <c r="J376" s="45" t="s">
        <v>147</v>
      </c>
      <c r="K376" s="42" t="s">
        <v>144</v>
      </c>
      <c r="L376" s="42" t="s">
        <v>250</v>
      </c>
      <c r="M376" s="44" t="s">
        <v>640</v>
      </c>
    </row>
    <row r="377" spans="1:13" x14ac:dyDescent="0.35">
      <c r="A377" s="42">
        <v>952</v>
      </c>
      <c r="B377" s="42" t="s">
        <v>136</v>
      </c>
      <c r="C377" s="42" t="s">
        <v>137</v>
      </c>
      <c r="D377" s="42" t="s">
        <v>219</v>
      </c>
      <c r="E377" s="42" t="s">
        <v>274</v>
      </c>
      <c r="F377" s="42" t="s">
        <v>140</v>
      </c>
      <c r="G377" s="42" t="s">
        <v>141</v>
      </c>
      <c r="H377" s="42" t="s">
        <v>150</v>
      </c>
      <c r="I377" s="42"/>
      <c r="J377" s="45" t="s">
        <v>147</v>
      </c>
      <c r="K377" s="42" t="s">
        <v>210</v>
      </c>
      <c r="L377" s="42" t="s">
        <v>210</v>
      </c>
      <c r="M377" s="44" t="s">
        <v>641</v>
      </c>
    </row>
    <row r="378" spans="1:13" x14ac:dyDescent="0.35">
      <c r="A378" s="42">
        <v>952</v>
      </c>
      <c r="B378" s="42" t="s">
        <v>136</v>
      </c>
      <c r="C378" s="42" t="s">
        <v>137</v>
      </c>
      <c r="D378" s="42" t="s">
        <v>219</v>
      </c>
      <c r="E378" s="42" t="s">
        <v>274</v>
      </c>
      <c r="F378" s="42" t="s">
        <v>140</v>
      </c>
      <c r="G378" s="42" t="s">
        <v>141</v>
      </c>
      <c r="H378" s="42" t="s">
        <v>156</v>
      </c>
      <c r="I378" s="42"/>
      <c r="J378" s="43" t="s">
        <v>143</v>
      </c>
      <c r="K378" s="42" t="s">
        <v>210</v>
      </c>
      <c r="L378" s="42" t="s">
        <v>210</v>
      </c>
      <c r="M378" s="44" t="s">
        <v>642</v>
      </c>
    </row>
    <row r="379" spans="1:13" x14ac:dyDescent="0.35">
      <c r="A379" s="42">
        <v>952</v>
      </c>
      <c r="B379" s="42" t="s">
        <v>136</v>
      </c>
      <c r="C379" s="42" t="s">
        <v>137</v>
      </c>
      <c r="D379" s="42" t="s">
        <v>219</v>
      </c>
      <c r="E379" s="42" t="s">
        <v>274</v>
      </c>
      <c r="F379" s="42" t="s">
        <v>140</v>
      </c>
      <c r="G379" s="42" t="s">
        <v>141</v>
      </c>
      <c r="H379" s="42" t="s">
        <v>156</v>
      </c>
      <c r="I379" s="42"/>
      <c r="J379" s="43" t="s">
        <v>143</v>
      </c>
      <c r="K379" s="42" t="s">
        <v>184</v>
      </c>
      <c r="L379" s="42" t="s">
        <v>184</v>
      </c>
      <c r="M379" s="44" t="s">
        <v>643</v>
      </c>
    </row>
    <row r="380" spans="1:13" ht="25" x14ac:dyDescent="0.35">
      <c r="A380" s="42">
        <v>952</v>
      </c>
      <c r="B380" s="42" t="s">
        <v>136</v>
      </c>
      <c r="C380" s="42" t="s">
        <v>137</v>
      </c>
      <c r="D380" s="42" t="s">
        <v>219</v>
      </c>
      <c r="E380" s="42" t="s">
        <v>274</v>
      </c>
      <c r="F380" s="42" t="s">
        <v>140</v>
      </c>
      <c r="G380" s="42" t="s">
        <v>141</v>
      </c>
      <c r="H380" s="42" t="s">
        <v>156</v>
      </c>
      <c r="I380" s="42"/>
      <c r="J380" s="43" t="s">
        <v>143</v>
      </c>
      <c r="K380" s="42" t="s">
        <v>144</v>
      </c>
      <c r="L380" s="42" t="s">
        <v>644</v>
      </c>
      <c r="M380" s="44" t="s">
        <v>645</v>
      </c>
    </row>
    <row r="381" spans="1:13" x14ac:dyDescent="0.35">
      <c r="A381" s="42">
        <v>958</v>
      </c>
      <c r="B381" s="42" t="s">
        <v>136</v>
      </c>
      <c r="C381" s="42" t="s">
        <v>137</v>
      </c>
      <c r="D381" s="42" t="s">
        <v>159</v>
      </c>
      <c r="E381" s="42" t="s">
        <v>206</v>
      </c>
      <c r="F381" s="42" t="s">
        <v>206</v>
      </c>
      <c r="G381" s="42" t="s">
        <v>141</v>
      </c>
      <c r="H381" s="42" t="s">
        <v>166</v>
      </c>
      <c r="I381" s="42">
        <v>4</v>
      </c>
      <c r="J381" s="43" t="s">
        <v>143</v>
      </c>
      <c r="K381" s="42" t="s">
        <v>50</v>
      </c>
      <c r="L381" s="42" t="s">
        <v>348</v>
      </c>
      <c r="M381" s="44" t="s">
        <v>646</v>
      </c>
    </row>
    <row r="382" spans="1:13" ht="25" x14ac:dyDescent="0.35">
      <c r="A382" s="42">
        <v>958</v>
      </c>
      <c r="B382" s="42" t="s">
        <v>136</v>
      </c>
      <c r="C382" s="42" t="s">
        <v>137</v>
      </c>
      <c r="D382" s="42" t="s">
        <v>159</v>
      </c>
      <c r="E382" s="42" t="s">
        <v>206</v>
      </c>
      <c r="F382" s="42" t="s">
        <v>206</v>
      </c>
      <c r="G382" s="42" t="s">
        <v>141</v>
      </c>
      <c r="H382" s="42" t="s">
        <v>146</v>
      </c>
      <c r="I382" s="42">
        <v>7</v>
      </c>
      <c r="J382" s="46" t="s">
        <v>222</v>
      </c>
      <c r="K382" s="42" t="s">
        <v>78</v>
      </c>
      <c r="L382" s="42" t="s">
        <v>335</v>
      </c>
      <c r="M382" s="44" t="s">
        <v>647</v>
      </c>
    </row>
    <row r="383" spans="1:13" x14ac:dyDescent="0.35">
      <c r="A383" s="42">
        <v>958</v>
      </c>
      <c r="B383" s="42" t="s">
        <v>136</v>
      </c>
      <c r="C383" s="42" t="s">
        <v>137</v>
      </c>
      <c r="D383" s="42" t="s">
        <v>159</v>
      </c>
      <c r="E383" s="42" t="s">
        <v>206</v>
      </c>
      <c r="F383" s="42" t="s">
        <v>206</v>
      </c>
      <c r="G383" s="42" t="s">
        <v>141</v>
      </c>
      <c r="H383" s="42" t="s">
        <v>150</v>
      </c>
      <c r="I383" s="42"/>
      <c r="J383" s="45" t="s">
        <v>147</v>
      </c>
      <c r="K383" s="42" t="s">
        <v>82</v>
      </c>
      <c r="L383" s="42" t="s">
        <v>82</v>
      </c>
      <c r="M383" s="44" t="s">
        <v>648</v>
      </c>
    </row>
    <row r="384" spans="1:13" x14ac:dyDescent="0.35">
      <c r="A384" s="42">
        <v>958</v>
      </c>
      <c r="B384" s="42" t="s">
        <v>136</v>
      </c>
      <c r="C384" s="42" t="s">
        <v>137</v>
      </c>
      <c r="D384" s="42" t="s">
        <v>159</v>
      </c>
      <c r="E384" s="42" t="s">
        <v>206</v>
      </c>
      <c r="F384" s="42" t="s">
        <v>206</v>
      </c>
      <c r="G384" s="42" t="s">
        <v>141</v>
      </c>
      <c r="H384" s="42" t="s">
        <v>156</v>
      </c>
      <c r="I384" s="42"/>
      <c r="J384" s="43" t="s">
        <v>143</v>
      </c>
      <c r="K384" s="42" t="s">
        <v>268</v>
      </c>
      <c r="L384" s="42" t="s">
        <v>268</v>
      </c>
      <c r="M384" s="44" t="s">
        <v>649</v>
      </c>
    </row>
    <row r="385" spans="1:13" ht="37.5" x14ac:dyDescent="0.35">
      <c r="A385" s="42">
        <v>958</v>
      </c>
      <c r="B385" s="42" t="s">
        <v>136</v>
      </c>
      <c r="C385" s="42" t="s">
        <v>137</v>
      </c>
      <c r="D385" s="42" t="s">
        <v>159</v>
      </c>
      <c r="E385" s="42" t="s">
        <v>206</v>
      </c>
      <c r="F385" s="42" t="s">
        <v>206</v>
      </c>
      <c r="G385" s="42" t="s">
        <v>141</v>
      </c>
      <c r="H385" s="42" t="s">
        <v>156</v>
      </c>
      <c r="I385" s="42"/>
      <c r="J385" s="43" t="s">
        <v>143</v>
      </c>
      <c r="K385" s="42" t="s">
        <v>196</v>
      </c>
      <c r="L385" s="42" t="s">
        <v>196</v>
      </c>
      <c r="M385" s="44" t="s">
        <v>650</v>
      </c>
    </row>
    <row r="386" spans="1:13" x14ac:dyDescent="0.35">
      <c r="A386" s="42">
        <v>964</v>
      </c>
      <c r="B386" s="42" t="s">
        <v>136</v>
      </c>
      <c r="C386" s="42" t="s">
        <v>137</v>
      </c>
      <c r="D386" s="42" t="s">
        <v>159</v>
      </c>
      <c r="E386" s="42" t="s">
        <v>139</v>
      </c>
      <c r="F386" s="42" t="s">
        <v>140</v>
      </c>
      <c r="G386" s="42" t="s">
        <v>141</v>
      </c>
      <c r="H386" s="42" t="s">
        <v>146</v>
      </c>
      <c r="I386" s="42">
        <v>9</v>
      </c>
      <c r="J386" s="45" t="s">
        <v>147</v>
      </c>
      <c r="K386" s="42" t="s">
        <v>210</v>
      </c>
      <c r="L386" s="42" t="s">
        <v>210</v>
      </c>
      <c r="M386" s="44" t="s">
        <v>651</v>
      </c>
    </row>
    <row r="387" spans="1:13" x14ac:dyDescent="0.35">
      <c r="A387" s="42">
        <v>964</v>
      </c>
      <c r="B387" s="42" t="s">
        <v>136</v>
      </c>
      <c r="C387" s="42" t="s">
        <v>137</v>
      </c>
      <c r="D387" s="42" t="s">
        <v>159</v>
      </c>
      <c r="E387" s="42" t="s">
        <v>139</v>
      </c>
      <c r="F387" s="42" t="s">
        <v>140</v>
      </c>
      <c r="G387" s="42" t="s">
        <v>141</v>
      </c>
      <c r="H387" s="42" t="s">
        <v>150</v>
      </c>
      <c r="I387" s="42"/>
      <c r="J387" s="45" t="s">
        <v>147</v>
      </c>
      <c r="K387" s="42" t="s">
        <v>144</v>
      </c>
      <c r="L387" s="42" t="s">
        <v>144</v>
      </c>
      <c r="M387" s="44" t="s">
        <v>652</v>
      </c>
    </row>
    <row r="388" spans="1:13" x14ac:dyDescent="0.35">
      <c r="A388" s="42">
        <v>964</v>
      </c>
      <c r="B388" s="42" t="s">
        <v>136</v>
      </c>
      <c r="C388" s="42" t="s">
        <v>137</v>
      </c>
      <c r="D388" s="42" t="s">
        <v>159</v>
      </c>
      <c r="E388" s="42" t="s">
        <v>139</v>
      </c>
      <c r="F388" s="42" t="s">
        <v>140</v>
      </c>
      <c r="G388" s="42" t="s">
        <v>141</v>
      </c>
      <c r="H388" s="42" t="s">
        <v>150</v>
      </c>
      <c r="I388" s="42"/>
      <c r="J388" s="45" t="s">
        <v>147</v>
      </c>
      <c r="K388" s="42" t="s">
        <v>144</v>
      </c>
      <c r="L388" s="42" t="s">
        <v>144</v>
      </c>
      <c r="M388" s="44" t="s">
        <v>653</v>
      </c>
    </row>
    <row r="389" spans="1:13" x14ac:dyDescent="0.35">
      <c r="A389" s="42">
        <v>964</v>
      </c>
      <c r="B389" s="42" t="s">
        <v>136</v>
      </c>
      <c r="C389" s="42" t="s">
        <v>137</v>
      </c>
      <c r="D389" s="42" t="s">
        <v>159</v>
      </c>
      <c r="E389" s="42" t="s">
        <v>139</v>
      </c>
      <c r="F389" s="42" t="s">
        <v>140</v>
      </c>
      <c r="G389" s="42" t="s">
        <v>141</v>
      </c>
      <c r="H389" s="42" t="s">
        <v>156</v>
      </c>
      <c r="I389" s="42"/>
      <c r="J389" s="43" t="s">
        <v>143</v>
      </c>
      <c r="K389" s="42" t="s">
        <v>210</v>
      </c>
      <c r="L389" s="42" t="s">
        <v>210</v>
      </c>
      <c r="M389" s="44" t="s">
        <v>654</v>
      </c>
    </row>
    <row r="390" spans="1:13" ht="25" x14ac:dyDescent="0.35">
      <c r="A390" s="42">
        <v>965</v>
      </c>
      <c r="B390" s="42" t="s">
        <v>136</v>
      </c>
      <c r="C390" s="42" t="s">
        <v>137</v>
      </c>
      <c r="D390" s="42" t="s">
        <v>138</v>
      </c>
      <c r="E390" s="42" t="s">
        <v>139</v>
      </c>
      <c r="F390" s="42" t="s">
        <v>140</v>
      </c>
      <c r="G390" s="42" t="s">
        <v>141</v>
      </c>
      <c r="H390" s="42" t="s">
        <v>142</v>
      </c>
      <c r="I390" s="42">
        <v>6</v>
      </c>
      <c r="J390" s="43" t="s">
        <v>143</v>
      </c>
      <c r="K390" s="42" t="s">
        <v>262</v>
      </c>
      <c r="L390" s="42" t="s">
        <v>655</v>
      </c>
      <c r="M390" s="44" t="s">
        <v>656</v>
      </c>
    </row>
    <row r="391" spans="1:13" x14ac:dyDescent="0.35">
      <c r="A391" s="42">
        <v>965</v>
      </c>
      <c r="B391" s="42" t="s">
        <v>136</v>
      </c>
      <c r="C391" s="42" t="s">
        <v>137</v>
      </c>
      <c r="D391" s="42" t="s">
        <v>138</v>
      </c>
      <c r="E391" s="42" t="s">
        <v>139</v>
      </c>
      <c r="F391" s="42" t="s">
        <v>140</v>
      </c>
      <c r="G391" s="42" t="s">
        <v>141</v>
      </c>
      <c r="H391" s="42" t="s">
        <v>177</v>
      </c>
      <c r="I391" s="42">
        <v>6</v>
      </c>
      <c r="J391" s="43" t="s">
        <v>143</v>
      </c>
      <c r="K391" s="42" t="s">
        <v>196</v>
      </c>
      <c r="L391" s="42" t="s">
        <v>252</v>
      </c>
      <c r="M391" s="44" t="s">
        <v>657</v>
      </c>
    </row>
    <row r="392" spans="1:13" ht="25" x14ac:dyDescent="0.35">
      <c r="A392" s="42">
        <v>965</v>
      </c>
      <c r="B392" s="42" t="s">
        <v>136</v>
      </c>
      <c r="C392" s="42" t="s">
        <v>137</v>
      </c>
      <c r="D392" s="42" t="s">
        <v>138</v>
      </c>
      <c r="E392" s="42" t="s">
        <v>139</v>
      </c>
      <c r="F392" s="42" t="s">
        <v>140</v>
      </c>
      <c r="G392" s="42" t="s">
        <v>141</v>
      </c>
      <c r="H392" s="42" t="s">
        <v>146</v>
      </c>
      <c r="I392" s="42">
        <v>6</v>
      </c>
      <c r="J392" s="43" t="s">
        <v>143</v>
      </c>
      <c r="K392" s="42" t="s">
        <v>196</v>
      </c>
      <c r="L392" s="42" t="s">
        <v>658</v>
      </c>
      <c r="M392" s="44" t="s">
        <v>659</v>
      </c>
    </row>
    <row r="393" spans="1:13" x14ac:dyDescent="0.35">
      <c r="A393" s="42">
        <v>965</v>
      </c>
      <c r="B393" s="42" t="s">
        <v>136</v>
      </c>
      <c r="C393" s="42" t="s">
        <v>137</v>
      </c>
      <c r="D393" s="42" t="s">
        <v>138</v>
      </c>
      <c r="E393" s="42" t="s">
        <v>139</v>
      </c>
      <c r="F393" s="42" t="s">
        <v>140</v>
      </c>
      <c r="G393" s="42" t="s">
        <v>141</v>
      </c>
      <c r="H393" s="42" t="s">
        <v>150</v>
      </c>
      <c r="I393" s="42"/>
      <c r="J393" s="45" t="s">
        <v>147</v>
      </c>
      <c r="K393" s="42" t="s">
        <v>190</v>
      </c>
      <c r="L393" s="42" t="s">
        <v>190</v>
      </c>
      <c r="M393" s="44" t="s">
        <v>660</v>
      </c>
    </row>
    <row r="394" spans="1:13" x14ac:dyDescent="0.35">
      <c r="A394" s="42">
        <v>965</v>
      </c>
      <c r="B394" s="42" t="s">
        <v>136</v>
      </c>
      <c r="C394" s="42" t="s">
        <v>137</v>
      </c>
      <c r="D394" s="42" t="s">
        <v>138</v>
      </c>
      <c r="E394" s="42" t="s">
        <v>139</v>
      </c>
      <c r="F394" s="42" t="s">
        <v>140</v>
      </c>
      <c r="G394" s="42" t="s">
        <v>141</v>
      </c>
      <c r="H394" s="42" t="s">
        <v>150</v>
      </c>
      <c r="I394" s="42"/>
      <c r="J394" s="45" t="s">
        <v>147</v>
      </c>
      <c r="K394" s="42" t="s">
        <v>268</v>
      </c>
      <c r="L394" s="42" t="s">
        <v>268</v>
      </c>
      <c r="M394" s="44" t="s">
        <v>661</v>
      </c>
    </row>
    <row r="395" spans="1:13" x14ac:dyDescent="0.35">
      <c r="A395" s="42">
        <v>965</v>
      </c>
      <c r="B395" s="42" t="s">
        <v>136</v>
      </c>
      <c r="C395" s="42" t="s">
        <v>137</v>
      </c>
      <c r="D395" s="42" t="s">
        <v>138</v>
      </c>
      <c r="E395" s="42" t="s">
        <v>139</v>
      </c>
      <c r="F395" s="42" t="s">
        <v>140</v>
      </c>
      <c r="G395" s="42" t="s">
        <v>141</v>
      </c>
      <c r="H395" s="42" t="s">
        <v>150</v>
      </c>
      <c r="I395" s="42"/>
      <c r="J395" s="45" t="s">
        <v>147</v>
      </c>
      <c r="K395" s="42" t="s">
        <v>187</v>
      </c>
      <c r="L395" s="42" t="s">
        <v>187</v>
      </c>
      <c r="M395" s="44" t="s">
        <v>662</v>
      </c>
    </row>
    <row r="396" spans="1:13" x14ac:dyDescent="0.35">
      <c r="A396" s="42">
        <v>965</v>
      </c>
      <c r="B396" s="42" t="s">
        <v>136</v>
      </c>
      <c r="C396" s="42" t="s">
        <v>137</v>
      </c>
      <c r="D396" s="42" t="s">
        <v>138</v>
      </c>
      <c r="E396" s="42" t="s">
        <v>139</v>
      </c>
      <c r="F396" s="42" t="s">
        <v>140</v>
      </c>
      <c r="G396" s="42" t="s">
        <v>141</v>
      </c>
      <c r="H396" s="42" t="s">
        <v>156</v>
      </c>
      <c r="I396" s="42"/>
      <c r="J396" s="43" t="s">
        <v>143</v>
      </c>
      <c r="K396" s="42" t="s">
        <v>196</v>
      </c>
      <c r="L396" s="42" t="s">
        <v>217</v>
      </c>
      <c r="M396" s="44" t="s">
        <v>663</v>
      </c>
    </row>
    <row r="397" spans="1:13" x14ac:dyDescent="0.35">
      <c r="A397" s="42">
        <v>965</v>
      </c>
      <c r="B397" s="42" t="s">
        <v>136</v>
      </c>
      <c r="C397" s="42" t="s">
        <v>137</v>
      </c>
      <c r="D397" s="42" t="s">
        <v>138</v>
      </c>
      <c r="E397" s="42" t="s">
        <v>139</v>
      </c>
      <c r="F397" s="42" t="s">
        <v>140</v>
      </c>
      <c r="G397" s="42" t="s">
        <v>141</v>
      </c>
      <c r="H397" s="42" t="s">
        <v>156</v>
      </c>
      <c r="I397" s="42"/>
      <c r="J397" s="43" t="s">
        <v>143</v>
      </c>
      <c r="K397" s="42" t="s">
        <v>144</v>
      </c>
      <c r="L397" s="42" t="s">
        <v>144</v>
      </c>
      <c r="M397" s="44" t="s">
        <v>664</v>
      </c>
    </row>
    <row r="398" spans="1:13" x14ac:dyDescent="0.35">
      <c r="A398" s="42">
        <v>965</v>
      </c>
      <c r="B398" s="42" t="s">
        <v>136</v>
      </c>
      <c r="C398" s="42" t="s">
        <v>137</v>
      </c>
      <c r="D398" s="42" t="s">
        <v>138</v>
      </c>
      <c r="E398" s="42" t="s">
        <v>139</v>
      </c>
      <c r="F398" s="42" t="s">
        <v>140</v>
      </c>
      <c r="G398" s="42" t="s">
        <v>141</v>
      </c>
      <c r="H398" s="42" t="s">
        <v>156</v>
      </c>
      <c r="I398" s="42"/>
      <c r="J398" s="43" t="s">
        <v>143</v>
      </c>
      <c r="K398" s="42" t="s">
        <v>196</v>
      </c>
      <c r="L398" s="42" t="s">
        <v>517</v>
      </c>
      <c r="M398" s="44" t="s">
        <v>665</v>
      </c>
    </row>
    <row r="399" spans="1:13" x14ac:dyDescent="0.35">
      <c r="A399" s="42">
        <v>972</v>
      </c>
      <c r="B399" s="42" t="s">
        <v>136</v>
      </c>
      <c r="C399" s="42" t="s">
        <v>199</v>
      </c>
      <c r="D399" s="42" t="s">
        <v>159</v>
      </c>
      <c r="E399" s="42" t="s">
        <v>206</v>
      </c>
      <c r="F399" s="42" t="s">
        <v>206</v>
      </c>
      <c r="G399" s="42" t="s">
        <v>141</v>
      </c>
      <c r="H399" s="42" t="s">
        <v>177</v>
      </c>
      <c r="I399" s="42">
        <v>4</v>
      </c>
      <c r="J399" s="43" t="s">
        <v>143</v>
      </c>
      <c r="K399" s="42" t="s">
        <v>196</v>
      </c>
      <c r="L399" s="42" t="s">
        <v>525</v>
      </c>
      <c r="M399" s="44" t="s">
        <v>666</v>
      </c>
    </row>
    <row r="400" spans="1:13" ht="50" x14ac:dyDescent="0.35">
      <c r="A400" s="42">
        <v>972</v>
      </c>
      <c r="B400" s="42" t="s">
        <v>136</v>
      </c>
      <c r="C400" s="42" t="s">
        <v>199</v>
      </c>
      <c r="D400" s="42" t="s">
        <v>159</v>
      </c>
      <c r="E400" s="42" t="s">
        <v>206</v>
      </c>
      <c r="F400" s="42" t="s">
        <v>206</v>
      </c>
      <c r="G400" s="42" t="s">
        <v>141</v>
      </c>
      <c r="H400" s="42" t="s">
        <v>180</v>
      </c>
      <c r="I400" s="42">
        <v>6</v>
      </c>
      <c r="J400" s="43" t="s">
        <v>143</v>
      </c>
      <c r="K400" s="42" t="s">
        <v>196</v>
      </c>
      <c r="L400" s="42" t="s">
        <v>667</v>
      </c>
      <c r="M400" s="44" t="s">
        <v>668</v>
      </c>
    </row>
    <row r="401" spans="1:13" x14ac:dyDescent="0.35">
      <c r="A401" s="42">
        <v>972</v>
      </c>
      <c r="B401" s="42" t="s">
        <v>136</v>
      </c>
      <c r="C401" s="42" t="s">
        <v>199</v>
      </c>
      <c r="D401" s="42" t="s">
        <v>159</v>
      </c>
      <c r="E401" s="42" t="s">
        <v>206</v>
      </c>
      <c r="F401" s="42" t="s">
        <v>206</v>
      </c>
      <c r="G401" s="42" t="s">
        <v>141</v>
      </c>
      <c r="H401" s="42" t="s">
        <v>183</v>
      </c>
      <c r="I401" s="42">
        <v>6</v>
      </c>
      <c r="J401" s="43" t="s">
        <v>143</v>
      </c>
      <c r="K401" s="42" t="s">
        <v>210</v>
      </c>
      <c r="L401" s="42" t="s">
        <v>210</v>
      </c>
      <c r="M401" s="44" t="s">
        <v>669</v>
      </c>
    </row>
    <row r="402" spans="1:13" x14ac:dyDescent="0.35">
      <c r="A402" s="42">
        <v>972</v>
      </c>
      <c r="B402" s="42" t="s">
        <v>136</v>
      </c>
      <c r="C402" s="42" t="s">
        <v>199</v>
      </c>
      <c r="D402" s="42" t="s">
        <v>159</v>
      </c>
      <c r="E402" s="42" t="s">
        <v>206</v>
      </c>
      <c r="F402" s="42" t="s">
        <v>206</v>
      </c>
      <c r="G402" s="42" t="s">
        <v>141</v>
      </c>
      <c r="H402" s="42" t="s">
        <v>146</v>
      </c>
      <c r="I402" s="42">
        <v>3</v>
      </c>
      <c r="J402" s="43" t="s">
        <v>143</v>
      </c>
      <c r="K402" s="42" t="s">
        <v>144</v>
      </c>
      <c r="L402" s="42" t="s">
        <v>670</v>
      </c>
      <c r="M402" s="44" t="s">
        <v>671</v>
      </c>
    </row>
    <row r="403" spans="1:13" x14ac:dyDescent="0.35">
      <c r="A403" s="42">
        <v>972</v>
      </c>
      <c r="B403" s="42" t="s">
        <v>136</v>
      </c>
      <c r="C403" s="42" t="s">
        <v>199</v>
      </c>
      <c r="D403" s="42" t="s">
        <v>159</v>
      </c>
      <c r="E403" s="42" t="s">
        <v>206</v>
      </c>
      <c r="F403" s="42" t="s">
        <v>206</v>
      </c>
      <c r="G403" s="42" t="s">
        <v>141</v>
      </c>
      <c r="H403" s="42" t="s">
        <v>150</v>
      </c>
      <c r="I403" s="42"/>
      <c r="J403" s="45" t="s">
        <v>147</v>
      </c>
      <c r="K403" s="42" t="s">
        <v>144</v>
      </c>
      <c r="L403" s="42" t="s">
        <v>144</v>
      </c>
      <c r="M403" s="44" t="s">
        <v>273</v>
      </c>
    </row>
    <row r="404" spans="1:13" x14ac:dyDescent="0.35">
      <c r="A404" s="42">
        <v>972</v>
      </c>
      <c r="B404" s="42" t="s">
        <v>136</v>
      </c>
      <c r="C404" s="42" t="s">
        <v>199</v>
      </c>
      <c r="D404" s="42" t="s">
        <v>159</v>
      </c>
      <c r="E404" s="42" t="s">
        <v>206</v>
      </c>
      <c r="F404" s="42" t="s">
        <v>206</v>
      </c>
      <c r="G404" s="42" t="s">
        <v>141</v>
      </c>
      <c r="H404" s="42" t="s">
        <v>156</v>
      </c>
      <c r="I404" s="42"/>
      <c r="J404" s="43" t="s">
        <v>143</v>
      </c>
      <c r="K404" s="42" t="s">
        <v>78</v>
      </c>
      <c r="L404" s="42" t="s">
        <v>78</v>
      </c>
      <c r="M404" s="44" t="s">
        <v>672</v>
      </c>
    </row>
    <row r="405" spans="1:13" x14ac:dyDescent="0.35">
      <c r="A405" s="42">
        <v>972</v>
      </c>
      <c r="B405" s="42" t="s">
        <v>136</v>
      </c>
      <c r="C405" s="42" t="s">
        <v>199</v>
      </c>
      <c r="D405" s="42" t="s">
        <v>159</v>
      </c>
      <c r="E405" s="42" t="s">
        <v>206</v>
      </c>
      <c r="F405" s="42" t="s">
        <v>206</v>
      </c>
      <c r="G405" s="42" t="s">
        <v>141</v>
      </c>
      <c r="H405" s="42" t="s">
        <v>156</v>
      </c>
      <c r="I405" s="42"/>
      <c r="J405" s="43" t="s">
        <v>143</v>
      </c>
      <c r="K405" s="42" t="s">
        <v>181</v>
      </c>
      <c r="L405" s="42" t="s">
        <v>673</v>
      </c>
      <c r="M405" s="44" t="s">
        <v>674</v>
      </c>
    </row>
    <row r="406" spans="1:13" ht="25" x14ac:dyDescent="0.35">
      <c r="A406" s="42">
        <v>972</v>
      </c>
      <c r="B406" s="42" t="s">
        <v>136</v>
      </c>
      <c r="C406" s="42" t="s">
        <v>199</v>
      </c>
      <c r="D406" s="42" t="s">
        <v>159</v>
      </c>
      <c r="E406" s="42" t="s">
        <v>206</v>
      </c>
      <c r="F406" s="42" t="s">
        <v>206</v>
      </c>
      <c r="G406" s="42" t="s">
        <v>141</v>
      </c>
      <c r="H406" s="42" t="s">
        <v>156</v>
      </c>
      <c r="I406" s="42"/>
      <c r="J406" s="43" t="s">
        <v>143</v>
      </c>
      <c r="K406" s="42" t="s">
        <v>196</v>
      </c>
      <c r="L406" s="42" t="s">
        <v>217</v>
      </c>
      <c r="M406" s="44" t="s">
        <v>675</v>
      </c>
    </row>
    <row r="407" spans="1:13" ht="37.5" x14ac:dyDescent="0.35">
      <c r="A407" s="42">
        <v>1146</v>
      </c>
      <c r="B407" s="42" t="s">
        <v>175</v>
      </c>
      <c r="C407" s="42" t="s">
        <v>137</v>
      </c>
      <c r="D407" s="42" t="s">
        <v>176</v>
      </c>
      <c r="E407" s="42" t="s">
        <v>160</v>
      </c>
      <c r="F407" s="42" t="s">
        <v>160</v>
      </c>
      <c r="G407" s="42" t="s">
        <v>141</v>
      </c>
      <c r="H407" s="42" t="s">
        <v>177</v>
      </c>
      <c r="I407" s="42">
        <v>5</v>
      </c>
      <c r="J407" s="43" t="s">
        <v>143</v>
      </c>
      <c r="K407" s="42" t="s">
        <v>53</v>
      </c>
      <c r="L407" s="42" t="s">
        <v>676</v>
      </c>
      <c r="M407" s="44" t="s">
        <v>677</v>
      </c>
    </row>
    <row r="408" spans="1:13" ht="25" x14ac:dyDescent="0.35">
      <c r="A408" s="42">
        <v>1146</v>
      </c>
      <c r="B408" s="42" t="s">
        <v>175</v>
      </c>
      <c r="C408" s="42" t="s">
        <v>137</v>
      </c>
      <c r="D408" s="42" t="s">
        <v>176</v>
      </c>
      <c r="E408" s="42" t="s">
        <v>160</v>
      </c>
      <c r="F408" s="42" t="s">
        <v>160</v>
      </c>
      <c r="G408" s="42" t="s">
        <v>141</v>
      </c>
      <c r="H408" s="42" t="s">
        <v>166</v>
      </c>
      <c r="I408" s="42">
        <v>6</v>
      </c>
      <c r="J408" s="43" t="s">
        <v>143</v>
      </c>
      <c r="K408" s="42" t="s">
        <v>50</v>
      </c>
      <c r="L408" s="42" t="s">
        <v>678</v>
      </c>
      <c r="M408" s="44" t="s">
        <v>679</v>
      </c>
    </row>
    <row r="409" spans="1:13" x14ac:dyDescent="0.35">
      <c r="A409" s="42">
        <v>1146</v>
      </c>
      <c r="B409" s="42" t="s">
        <v>175</v>
      </c>
      <c r="C409" s="42" t="s">
        <v>137</v>
      </c>
      <c r="D409" s="42" t="s">
        <v>176</v>
      </c>
      <c r="E409" s="42" t="s">
        <v>160</v>
      </c>
      <c r="F409" s="42" t="s">
        <v>160</v>
      </c>
      <c r="G409" s="42" t="s">
        <v>141</v>
      </c>
      <c r="H409" s="42" t="s">
        <v>146</v>
      </c>
      <c r="I409" s="42">
        <v>8</v>
      </c>
      <c r="J409" s="46" t="s">
        <v>222</v>
      </c>
      <c r="K409" s="42" t="s">
        <v>268</v>
      </c>
      <c r="L409" s="42" t="s">
        <v>268</v>
      </c>
      <c r="M409" s="44" t="s">
        <v>680</v>
      </c>
    </row>
    <row r="410" spans="1:13" x14ac:dyDescent="0.35">
      <c r="A410" s="42">
        <v>1146</v>
      </c>
      <c r="B410" s="42" t="s">
        <v>175</v>
      </c>
      <c r="C410" s="42" t="s">
        <v>137</v>
      </c>
      <c r="D410" s="42" t="s">
        <v>176</v>
      </c>
      <c r="E410" s="42" t="s">
        <v>160</v>
      </c>
      <c r="F410" s="42" t="s">
        <v>160</v>
      </c>
      <c r="G410" s="42" t="s">
        <v>141</v>
      </c>
      <c r="H410" s="42" t="s">
        <v>150</v>
      </c>
      <c r="I410" s="42"/>
      <c r="J410" s="45" t="s">
        <v>147</v>
      </c>
      <c r="K410" s="42" t="s">
        <v>210</v>
      </c>
      <c r="L410" s="42" t="s">
        <v>210</v>
      </c>
      <c r="M410" s="44" t="s">
        <v>681</v>
      </c>
    </row>
    <row r="411" spans="1:13" x14ac:dyDescent="0.35">
      <c r="A411" s="42">
        <v>1146</v>
      </c>
      <c r="B411" s="42" t="s">
        <v>175</v>
      </c>
      <c r="C411" s="42" t="s">
        <v>137</v>
      </c>
      <c r="D411" s="42" t="s">
        <v>176</v>
      </c>
      <c r="E411" s="42" t="s">
        <v>160</v>
      </c>
      <c r="F411" s="42" t="s">
        <v>160</v>
      </c>
      <c r="G411" s="42" t="s">
        <v>141</v>
      </c>
      <c r="H411" s="42" t="s">
        <v>150</v>
      </c>
      <c r="I411" s="42"/>
      <c r="J411" s="45" t="s">
        <v>147</v>
      </c>
      <c r="K411" s="42" t="s">
        <v>76</v>
      </c>
      <c r="L411" s="42" t="s">
        <v>446</v>
      </c>
      <c r="M411" s="44" t="s">
        <v>682</v>
      </c>
    </row>
    <row r="412" spans="1:13" x14ac:dyDescent="0.35">
      <c r="A412" s="42">
        <v>1146</v>
      </c>
      <c r="B412" s="42" t="s">
        <v>175</v>
      </c>
      <c r="C412" s="42" t="s">
        <v>137</v>
      </c>
      <c r="D412" s="42" t="s">
        <v>176</v>
      </c>
      <c r="E412" s="42" t="s">
        <v>160</v>
      </c>
      <c r="F412" s="42" t="s">
        <v>160</v>
      </c>
      <c r="G412" s="42" t="s">
        <v>141</v>
      </c>
      <c r="H412" s="42" t="s">
        <v>150</v>
      </c>
      <c r="I412" s="42"/>
      <c r="J412" s="45" t="s">
        <v>147</v>
      </c>
      <c r="K412" s="42" t="s">
        <v>78</v>
      </c>
      <c r="L412" s="42" t="s">
        <v>78</v>
      </c>
      <c r="M412" s="44" t="s">
        <v>683</v>
      </c>
    </row>
    <row r="413" spans="1:13" x14ac:dyDescent="0.35">
      <c r="A413" s="42">
        <v>1146</v>
      </c>
      <c r="B413" s="42" t="s">
        <v>175</v>
      </c>
      <c r="C413" s="42" t="s">
        <v>137</v>
      </c>
      <c r="D413" s="42" t="s">
        <v>176</v>
      </c>
      <c r="E413" s="42" t="s">
        <v>160</v>
      </c>
      <c r="F413" s="42" t="s">
        <v>160</v>
      </c>
      <c r="G413" s="42" t="s">
        <v>141</v>
      </c>
      <c r="H413" s="42" t="s">
        <v>156</v>
      </c>
      <c r="I413" s="42"/>
      <c r="J413" s="43" t="s">
        <v>143</v>
      </c>
      <c r="K413" s="42" t="s">
        <v>268</v>
      </c>
      <c r="L413" s="42" t="s">
        <v>268</v>
      </c>
      <c r="M413" s="44" t="s">
        <v>684</v>
      </c>
    </row>
    <row r="414" spans="1:13" x14ac:dyDescent="0.35">
      <c r="A414" s="42">
        <v>1146</v>
      </c>
      <c r="B414" s="42" t="s">
        <v>175</v>
      </c>
      <c r="C414" s="42" t="s">
        <v>137</v>
      </c>
      <c r="D414" s="42" t="s">
        <v>176</v>
      </c>
      <c r="E414" s="42" t="s">
        <v>160</v>
      </c>
      <c r="F414" s="42" t="s">
        <v>160</v>
      </c>
      <c r="G414" s="42" t="s">
        <v>141</v>
      </c>
      <c r="H414" s="42" t="s">
        <v>156</v>
      </c>
      <c r="I414" s="42"/>
      <c r="J414" s="43" t="s">
        <v>143</v>
      </c>
      <c r="K414" s="42" t="s">
        <v>190</v>
      </c>
      <c r="L414" s="42" t="s">
        <v>190</v>
      </c>
      <c r="M414" s="44" t="s">
        <v>685</v>
      </c>
    </row>
    <row r="415" spans="1:13" x14ac:dyDescent="0.35">
      <c r="A415" s="42">
        <v>1146</v>
      </c>
      <c r="B415" s="42" t="s">
        <v>175</v>
      </c>
      <c r="C415" s="42" t="s">
        <v>137</v>
      </c>
      <c r="D415" s="42" t="s">
        <v>176</v>
      </c>
      <c r="E415" s="42" t="s">
        <v>160</v>
      </c>
      <c r="F415" s="42" t="s">
        <v>160</v>
      </c>
      <c r="G415" s="42" t="s">
        <v>141</v>
      </c>
      <c r="H415" s="42" t="s">
        <v>156</v>
      </c>
      <c r="I415" s="42"/>
      <c r="J415" s="43" t="s">
        <v>143</v>
      </c>
      <c r="K415" s="42" t="s">
        <v>196</v>
      </c>
      <c r="L415" s="42" t="s">
        <v>614</v>
      </c>
      <c r="M415" s="44" t="s">
        <v>686</v>
      </c>
    </row>
    <row r="416" spans="1:13" ht="25" x14ac:dyDescent="0.35">
      <c r="A416" s="42">
        <v>1151</v>
      </c>
      <c r="B416" s="42" t="s">
        <v>136</v>
      </c>
      <c r="C416" s="42" t="s">
        <v>137</v>
      </c>
      <c r="D416" s="42" t="s">
        <v>138</v>
      </c>
      <c r="E416" s="42" t="s">
        <v>160</v>
      </c>
      <c r="F416" s="42" t="s">
        <v>160</v>
      </c>
      <c r="G416" s="42" t="s">
        <v>141</v>
      </c>
      <c r="H416" s="42" t="s">
        <v>163</v>
      </c>
      <c r="I416" s="42"/>
      <c r="J416" s="45" t="s">
        <v>147</v>
      </c>
      <c r="K416" s="42" t="s">
        <v>184</v>
      </c>
      <c r="L416" s="42" t="s">
        <v>208</v>
      </c>
      <c r="M416" s="44" t="s">
        <v>687</v>
      </c>
    </row>
    <row r="417" spans="1:13" ht="37.5" x14ac:dyDescent="0.35">
      <c r="A417" s="42">
        <v>1151</v>
      </c>
      <c r="B417" s="42" t="s">
        <v>136</v>
      </c>
      <c r="C417" s="42" t="s">
        <v>137</v>
      </c>
      <c r="D417" s="42" t="s">
        <v>138</v>
      </c>
      <c r="E417" s="42" t="s">
        <v>160</v>
      </c>
      <c r="F417" s="42" t="s">
        <v>160</v>
      </c>
      <c r="G417" s="42" t="s">
        <v>141</v>
      </c>
      <c r="H417" s="42" t="s">
        <v>166</v>
      </c>
      <c r="I417" s="42">
        <v>5</v>
      </c>
      <c r="J417" s="43" t="s">
        <v>143</v>
      </c>
      <c r="K417" s="42" t="s">
        <v>50</v>
      </c>
      <c r="L417" s="42" t="s">
        <v>688</v>
      </c>
      <c r="M417" s="44" t="s">
        <v>689</v>
      </c>
    </row>
    <row r="418" spans="1:13" ht="25" x14ac:dyDescent="0.35">
      <c r="A418" s="42">
        <v>1151</v>
      </c>
      <c r="B418" s="42" t="s">
        <v>136</v>
      </c>
      <c r="C418" s="42" t="s">
        <v>137</v>
      </c>
      <c r="D418" s="42" t="s">
        <v>138</v>
      </c>
      <c r="E418" s="42" t="s">
        <v>160</v>
      </c>
      <c r="F418" s="42" t="s">
        <v>160</v>
      </c>
      <c r="G418" s="42" t="s">
        <v>141</v>
      </c>
      <c r="H418" s="42" t="s">
        <v>183</v>
      </c>
      <c r="I418" s="42">
        <v>6</v>
      </c>
      <c r="J418" s="43" t="s">
        <v>143</v>
      </c>
      <c r="K418" s="42" t="s">
        <v>184</v>
      </c>
      <c r="L418" s="42" t="s">
        <v>690</v>
      </c>
      <c r="M418" s="44" t="s">
        <v>691</v>
      </c>
    </row>
    <row r="419" spans="1:13" ht="25" x14ac:dyDescent="0.35">
      <c r="A419" s="42">
        <v>1151</v>
      </c>
      <c r="B419" s="42" t="s">
        <v>136</v>
      </c>
      <c r="C419" s="42" t="s">
        <v>137</v>
      </c>
      <c r="D419" s="42" t="s">
        <v>138</v>
      </c>
      <c r="E419" s="42" t="s">
        <v>160</v>
      </c>
      <c r="F419" s="42" t="s">
        <v>160</v>
      </c>
      <c r="G419" s="42" t="s">
        <v>141</v>
      </c>
      <c r="H419" s="42" t="s">
        <v>146</v>
      </c>
      <c r="I419" s="42">
        <v>8</v>
      </c>
      <c r="J419" s="46" t="s">
        <v>222</v>
      </c>
      <c r="K419" s="42" t="s">
        <v>50</v>
      </c>
      <c r="L419" s="42" t="s">
        <v>692</v>
      </c>
      <c r="M419" s="44" t="s">
        <v>693</v>
      </c>
    </row>
    <row r="420" spans="1:13" x14ac:dyDescent="0.35">
      <c r="A420" s="42">
        <v>1151</v>
      </c>
      <c r="B420" s="42" t="s">
        <v>136</v>
      </c>
      <c r="C420" s="42" t="s">
        <v>137</v>
      </c>
      <c r="D420" s="42" t="s">
        <v>138</v>
      </c>
      <c r="E420" s="42" t="s">
        <v>160</v>
      </c>
      <c r="F420" s="42" t="s">
        <v>160</v>
      </c>
      <c r="G420" s="42" t="s">
        <v>141</v>
      </c>
      <c r="H420" s="42" t="s">
        <v>150</v>
      </c>
      <c r="I420" s="42"/>
      <c r="J420" s="45" t="s">
        <v>147</v>
      </c>
      <c r="K420" s="42" t="s">
        <v>305</v>
      </c>
      <c r="L420" s="42" t="s">
        <v>305</v>
      </c>
      <c r="M420" s="44" t="s">
        <v>694</v>
      </c>
    </row>
    <row r="421" spans="1:13" x14ac:dyDescent="0.35">
      <c r="A421" s="42">
        <v>1151</v>
      </c>
      <c r="B421" s="42" t="s">
        <v>136</v>
      </c>
      <c r="C421" s="42" t="s">
        <v>137</v>
      </c>
      <c r="D421" s="42" t="s">
        <v>138</v>
      </c>
      <c r="E421" s="42" t="s">
        <v>160</v>
      </c>
      <c r="F421" s="42" t="s">
        <v>160</v>
      </c>
      <c r="G421" s="42" t="s">
        <v>141</v>
      </c>
      <c r="H421" s="42" t="s">
        <v>150</v>
      </c>
      <c r="I421" s="42"/>
      <c r="J421" s="45" t="s">
        <v>147</v>
      </c>
      <c r="K421" s="42" t="s">
        <v>144</v>
      </c>
      <c r="L421" s="42" t="s">
        <v>144</v>
      </c>
      <c r="M421" s="44" t="s">
        <v>273</v>
      </c>
    </row>
    <row r="422" spans="1:13" x14ac:dyDescent="0.35">
      <c r="A422" s="42">
        <v>1151</v>
      </c>
      <c r="B422" s="42" t="s">
        <v>136</v>
      </c>
      <c r="C422" s="42" t="s">
        <v>137</v>
      </c>
      <c r="D422" s="42" t="s">
        <v>138</v>
      </c>
      <c r="E422" s="42" t="s">
        <v>160</v>
      </c>
      <c r="F422" s="42" t="s">
        <v>160</v>
      </c>
      <c r="G422" s="42" t="s">
        <v>141</v>
      </c>
      <c r="H422" s="42" t="s">
        <v>150</v>
      </c>
      <c r="I422" s="42"/>
      <c r="J422" s="45" t="s">
        <v>147</v>
      </c>
      <c r="K422" s="42" t="s">
        <v>78</v>
      </c>
      <c r="L422" s="42" t="s">
        <v>78</v>
      </c>
      <c r="M422" s="44" t="s">
        <v>695</v>
      </c>
    </row>
    <row r="423" spans="1:13" x14ac:dyDescent="0.35">
      <c r="A423" s="42">
        <v>1151</v>
      </c>
      <c r="B423" s="42" t="s">
        <v>136</v>
      </c>
      <c r="C423" s="42" t="s">
        <v>137</v>
      </c>
      <c r="D423" s="42" t="s">
        <v>138</v>
      </c>
      <c r="E423" s="42" t="s">
        <v>160</v>
      </c>
      <c r="F423" s="42" t="s">
        <v>160</v>
      </c>
      <c r="G423" s="42" t="s">
        <v>141</v>
      </c>
      <c r="H423" s="42" t="s">
        <v>156</v>
      </c>
      <c r="I423" s="42"/>
      <c r="J423" s="43" t="s">
        <v>143</v>
      </c>
      <c r="K423" s="42" t="s">
        <v>50</v>
      </c>
      <c r="L423" s="42" t="s">
        <v>50</v>
      </c>
      <c r="M423" s="44" t="s">
        <v>696</v>
      </c>
    </row>
    <row r="424" spans="1:13" x14ac:dyDescent="0.35">
      <c r="A424" s="42">
        <v>1151</v>
      </c>
      <c r="B424" s="42" t="s">
        <v>136</v>
      </c>
      <c r="C424" s="42" t="s">
        <v>137</v>
      </c>
      <c r="D424" s="42" t="s">
        <v>138</v>
      </c>
      <c r="E424" s="42" t="s">
        <v>160</v>
      </c>
      <c r="F424" s="42" t="s">
        <v>160</v>
      </c>
      <c r="G424" s="42" t="s">
        <v>141</v>
      </c>
      <c r="H424" s="42" t="s">
        <v>156</v>
      </c>
      <c r="I424" s="42"/>
      <c r="J424" s="43" t="s">
        <v>143</v>
      </c>
      <c r="K424" s="42" t="s">
        <v>184</v>
      </c>
      <c r="L424" s="42" t="s">
        <v>184</v>
      </c>
      <c r="M424" s="44" t="s">
        <v>697</v>
      </c>
    </row>
    <row r="425" spans="1:13" x14ac:dyDescent="0.35">
      <c r="A425" s="42">
        <v>1151</v>
      </c>
      <c r="B425" s="42" t="s">
        <v>136</v>
      </c>
      <c r="C425" s="42" t="s">
        <v>137</v>
      </c>
      <c r="D425" s="42" t="s">
        <v>138</v>
      </c>
      <c r="E425" s="42" t="s">
        <v>160</v>
      </c>
      <c r="F425" s="42" t="s">
        <v>160</v>
      </c>
      <c r="G425" s="42" t="s">
        <v>141</v>
      </c>
      <c r="H425" s="42" t="s">
        <v>156</v>
      </c>
      <c r="I425" s="42"/>
      <c r="J425" s="43" t="s">
        <v>143</v>
      </c>
      <c r="K425" s="42" t="s">
        <v>193</v>
      </c>
      <c r="L425" s="42" t="s">
        <v>698</v>
      </c>
      <c r="M425" s="44" t="s">
        <v>699</v>
      </c>
    </row>
    <row r="426" spans="1:13" x14ac:dyDescent="0.35">
      <c r="A426" s="42">
        <v>978</v>
      </c>
      <c r="B426" s="42" t="s">
        <v>175</v>
      </c>
      <c r="C426" s="42" t="s">
        <v>199</v>
      </c>
      <c r="D426" s="42" t="s">
        <v>159</v>
      </c>
      <c r="E426" s="42" t="s">
        <v>139</v>
      </c>
      <c r="F426" s="42" t="s">
        <v>140</v>
      </c>
      <c r="G426" s="42" t="s">
        <v>141</v>
      </c>
      <c r="H426" s="42" t="s">
        <v>166</v>
      </c>
      <c r="I426" s="42">
        <v>5</v>
      </c>
      <c r="J426" s="43" t="s">
        <v>143</v>
      </c>
      <c r="K426" s="42" t="s">
        <v>50</v>
      </c>
      <c r="L426" s="42" t="s">
        <v>700</v>
      </c>
      <c r="M426" s="44" t="s">
        <v>701</v>
      </c>
    </row>
    <row r="427" spans="1:13" x14ac:dyDescent="0.35">
      <c r="A427" s="42">
        <v>978</v>
      </c>
      <c r="B427" s="42" t="s">
        <v>175</v>
      </c>
      <c r="C427" s="42" t="s">
        <v>199</v>
      </c>
      <c r="D427" s="42" t="s">
        <v>159</v>
      </c>
      <c r="E427" s="42" t="s">
        <v>139</v>
      </c>
      <c r="F427" s="42" t="s">
        <v>140</v>
      </c>
      <c r="G427" s="42" t="s">
        <v>141</v>
      </c>
      <c r="H427" s="42" t="s">
        <v>180</v>
      </c>
      <c r="I427" s="42">
        <v>6</v>
      </c>
      <c r="J427" s="43" t="s">
        <v>143</v>
      </c>
      <c r="K427" s="42" t="s">
        <v>184</v>
      </c>
      <c r="L427" s="42" t="s">
        <v>308</v>
      </c>
      <c r="M427" s="44" t="s">
        <v>702</v>
      </c>
    </row>
    <row r="428" spans="1:13" ht="25" x14ac:dyDescent="0.35">
      <c r="A428" s="42">
        <v>978</v>
      </c>
      <c r="B428" s="42" t="s">
        <v>175</v>
      </c>
      <c r="C428" s="42" t="s">
        <v>199</v>
      </c>
      <c r="D428" s="42" t="s">
        <v>159</v>
      </c>
      <c r="E428" s="42" t="s">
        <v>139</v>
      </c>
      <c r="F428" s="42" t="s">
        <v>140</v>
      </c>
      <c r="G428" s="42" t="s">
        <v>141</v>
      </c>
      <c r="H428" s="42" t="s">
        <v>146</v>
      </c>
      <c r="I428" s="42">
        <v>8</v>
      </c>
      <c r="J428" s="46" t="s">
        <v>222</v>
      </c>
      <c r="K428" s="42" t="s">
        <v>76</v>
      </c>
      <c r="L428" s="42" t="s">
        <v>703</v>
      </c>
      <c r="M428" s="44" t="s">
        <v>704</v>
      </c>
    </row>
    <row r="429" spans="1:13" x14ac:dyDescent="0.35">
      <c r="A429" s="42">
        <v>978</v>
      </c>
      <c r="B429" s="42" t="s">
        <v>175</v>
      </c>
      <c r="C429" s="42" t="s">
        <v>199</v>
      </c>
      <c r="D429" s="42" t="s">
        <v>159</v>
      </c>
      <c r="E429" s="42" t="s">
        <v>139</v>
      </c>
      <c r="F429" s="42" t="s">
        <v>140</v>
      </c>
      <c r="G429" s="42" t="s">
        <v>141</v>
      </c>
      <c r="H429" s="42" t="s">
        <v>150</v>
      </c>
      <c r="I429" s="42"/>
      <c r="J429" s="45" t="s">
        <v>147</v>
      </c>
      <c r="K429" s="42" t="s">
        <v>76</v>
      </c>
      <c r="L429" s="42" t="s">
        <v>705</v>
      </c>
      <c r="M429" s="44" t="s">
        <v>706</v>
      </c>
    </row>
    <row r="430" spans="1:13" x14ac:dyDescent="0.35">
      <c r="A430" s="42">
        <v>978</v>
      </c>
      <c r="B430" s="42" t="s">
        <v>175</v>
      </c>
      <c r="C430" s="42" t="s">
        <v>199</v>
      </c>
      <c r="D430" s="42" t="s">
        <v>159</v>
      </c>
      <c r="E430" s="42" t="s">
        <v>139</v>
      </c>
      <c r="F430" s="42" t="s">
        <v>140</v>
      </c>
      <c r="G430" s="42" t="s">
        <v>141</v>
      </c>
      <c r="H430" s="42" t="s">
        <v>150</v>
      </c>
      <c r="I430" s="42"/>
      <c r="J430" s="45" t="s">
        <v>147</v>
      </c>
      <c r="K430" s="42" t="s">
        <v>184</v>
      </c>
      <c r="L430" s="42" t="s">
        <v>184</v>
      </c>
      <c r="M430" s="44" t="s">
        <v>271</v>
      </c>
    </row>
    <row r="431" spans="1:13" x14ac:dyDescent="0.35">
      <c r="A431" s="42">
        <v>978</v>
      </c>
      <c r="B431" s="42" t="s">
        <v>175</v>
      </c>
      <c r="C431" s="42" t="s">
        <v>199</v>
      </c>
      <c r="D431" s="42" t="s">
        <v>159</v>
      </c>
      <c r="E431" s="42" t="s">
        <v>139</v>
      </c>
      <c r="F431" s="42" t="s">
        <v>140</v>
      </c>
      <c r="G431" s="42" t="s">
        <v>141</v>
      </c>
      <c r="H431" s="42" t="s">
        <v>156</v>
      </c>
      <c r="I431" s="42"/>
      <c r="J431" s="43" t="s">
        <v>143</v>
      </c>
      <c r="K431" s="42" t="s">
        <v>184</v>
      </c>
      <c r="L431" s="42" t="s">
        <v>184</v>
      </c>
      <c r="M431" s="44" t="s">
        <v>707</v>
      </c>
    </row>
    <row r="432" spans="1:13" x14ac:dyDescent="0.35">
      <c r="A432" s="42">
        <v>978</v>
      </c>
      <c r="B432" s="42" t="s">
        <v>175</v>
      </c>
      <c r="C432" s="42" t="s">
        <v>199</v>
      </c>
      <c r="D432" s="42" t="s">
        <v>159</v>
      </c>
      <c r="E432" s="42" t="s">
        <v>139</v>
      </c>
      <c r="F432" s="42" t="s">
        <v>140</v>
      </c>
      <c r="G432" s="42" t="s">
        <v>141</v>
      </c>
      <c r="H432" s="42" t="s">
        <v>156</v>
      </c>
      <c r="I432" s="42"/>
      <c r="J432" s="43" t="s">
        <v>143</v>
      </c>
      <c r="K432" s="42" t="s">
        <v>268</v>
      </c>
      <c r="L432" s="42" t="s">
        <v>268</v>
      </c>
      <c r="M432" s="44" t="s">
        <v>353</v>
      </c>
    </row>
    <row r="433" spans="1:13" x14ac:dyDescent="0.35">
      <c r="A433" s="42">
        <v>978</v>
      </c>
      <c r="B433" s="42" t="s">
        <v>175</v>
      </c>
      <c r="C433" s="42" t="s">
        <v>199</v>
      </c>
      <c r="D433" s="42" t="s">
        <v>159</v>
      </c>
      <c r="E433" s="42" t="s">
        <v>139</v>
      </c>
      <c r="F433" s="42" t="s">
        <v>140</v>
      </c>
      <c r="G433" s="42" t="s">
        <v>141</v>
      </c>
      <c r="H433" s="42" t="s">
        <v>156</v>
      </c>
      <c r="I433" s="42"/>
      <c r="J433" s="43" t="s">
        <v>143</v>
      </c>
      <c r="K433" s="42" t="s">
        <v>196</v>
      </c>
      <c r="L433" s="42" t="s">
        <v>517</v>
      </c>
      <c r="M433" s="44" t="s">
        <v>708</v>
      </c>
    </row>
    <row r="434" spans="1:13" ht="50" x14ac:dyDescent="0.35">
      <c r="A434" s="42">
        <v>984</v>
      </c>
      <c r="B434" s="42" t="s">
        <v>136</v>
      </c>
      <c r="C434" s="42" t="s">
        <v>199</v>
      </c>
      <c r="D434" s="42" t="s">
        <v>159</v>
      </c>
      <c r="E434" s="42" t="s">
        <v>206</v>
      </c>
      <c r="F434" s="42" t="s">
        <v>206</v>
      </c>
      <c r="G434" s="42" t="s">
        <v>141</v>
      </c>
      <c r="H434" s="42" t="s">
        <v>146</v>
      </c>
      <c r="I434" s="42">
        <v>10</v>
      </c>
      <c r="J434" s="45" t="s">
        <v>147</v>
      </c>
      <c r="K434" s="42" t="s">
        <v>196</v>
      </c>
      <c r="L434" s="42" t="s">
        <v>709</v>
      </c>
      <c r="M434" s="44" t="s">
        <v>710</v>
      </c>
    </row>
    <row r="435" spans="1:13" x14ac:dyDescent="0.35">
      <c r="A435" s="42">
        <v>984</v>
      </c>
      <c r="B435" s="42" t="s">
        <v>136</v>
      </c>
      <c r="C435" s="42" t="s">
        <v>199</v>
      </c>
      <c r="D435" s="42" t="s">
        <v>159</v>
      </c>
      <c r="E435" s="42" t="s">
        <v>206</v>
      </c>
      <c r="F435" s="42" t="s">
        <v>206</v>
      </c>
      <c r="G435" s="42" t="s">
        <v>141</v>
      </c>
      <c r="H435" s="42" t="s">
        <v>150</v>
      </c>
      <c r="I435" s="42"/>
      <c r="J435" s="45" t="s">
        <v>147</v>
      </c>
      <c r="K435" s="42" t="s">
        <v>184</v>
      </c>
      <c r="L435" s="42" t="s">
        <v>184</v>
      </c>
      <c r="M435" s="44" t="s">
        <v>711</v>
      </c>
    </row>
    <row r="436" spans="1:13" x14ac:dyDescent="0.35">
      <c r="A436" s="42">
        <v>984</v>
      </c>
      <c r="B436" s="42" t="s">
        <v>136</v>
      </c>
      <c r="C436" s="42" t="s">
        <v>199</v>
      </c>
      <c r="D436" s="42" t="s">
        <v>159</v>
      </c>
      <c r="E436" s="42" t="s">
        <v>206</v>
      </c>
      <c r="F436" s="42" t="s">
        <v>206</v>
      </c>
      <c r="G436" s="42" t="s">
        <v>141</v>
      </c>
      <c r="H436" s="42" t="s">
        <v>150</v>
      </c>
      <c r="I436" s="42"/>
      <c r="J436" s="45" t="s">
        <v>147</v>
      </c>
      <c r="K436" s="42" t="s">
        <v>76</v>
      </c>
      <c r="L436" s="42" t="s">
        <v>76</v>
      </c>
      <c r="M436" s="44" t="s">
        <v>371</v>
      </c>
    </row>
    <row r="437" spans="1:13" x14ac:dyDescent="0.35">
      <c r="A437" s="42">
        <v>984</v>
      </c>
      <c r="B437" s="42" t="s">
        <v>136</v>
      </c>
      <c r="C437" s="42" t="s">
        <v>199</v>
      </c>
      <c r="D437" s="42" t="s">
        <v>159</v>
      </c>
      <c r="E437" s="42" t="s">
        <v>206</v>
      </c>
      <c r="F437" s="42" t="s">
        <v>206</v>
      </c>
      <c r="G437" s="42" t="s">
        <v>141</v>
      </c>
      <c r="H437" s="42" t="s">
        <v>150</v>
      </c>
      <c r="I437" s="42"/>
      <c r="J437" s="45" t="s">
        <v>147</v>
      </c>
      <c r="K437" s="42" t="s">
        <v>210</v>
      </c>
      <c r="L437" s="42" t="s">
        <v>210</v>
      </c>
      <c r="M437" s="44" t="s">
        <v>712</v>
      </c>
    </row>
    <row r="438" spans="1:13" x14ac:dyDescent="0.35">
      <c r="A438" s="42">
        <v>984</v>
      </c>
      <c r="B438" s="42" t="s">
        <v>136</v>
      </c>
      <c r="C438" s="42" t="s">
        <v>199</v>
      </c>
      <c r="D438" s="42" t="s">
        <v>159</v>
      </c>
      <c r="E438" s="42" t="s">
        <v>206</v>
      </c>
      <c r="F438" s="42" t="s">
        <v>206</v>
      </c>
      <c r="G438" s="42" t="s">
        <v>141</v>
      </c>
      <c r="H438" s="42" t="s">
        <v>156</v>
      </c>
      <c r="I438" s="42"/>
      <c r="J438" s="43" t="s">
        <v>143</v>
      </c>
      <c r="K438" s="42" t="s">
        <v>144</v>
      </c>
      <c r="L438" s="42" t="s">
        <v>144</v>
      </c>
      <c r="M438" s="44" t="s">
        <v>713</v>
      </c>
    </row>
    <row r="439" spans="1:13" x14ac:dyDescent="0.35">
      <c r="A439" s="42">
        <v>984</v>
      </c>
      <c r="B439" s="42" t="s">
        <v>136</v>
      </c>
      <c r="C439" s="42" t="s">
        <v>199</v>
      </c>
      <c r="D439" s="42" t="s">
        <v>159</v>
      </c>
      <c r="E439" s="42" t="s">
        <v>206</v>
      </c>
      <c r="F439" s="42" t="s">
        <v>206</v>
      </c>
      <c r="G439" s="42" t="s">
        <v>141</v>
      </c>
      <c r="H439" s="42" t="s">
        <v>156</v>
      </c>
      <c r="I439" s="42"/>
      <c r="J439" s="43" t="s">
        <v>143</v>
      </c>
      <c r="K439" s="42" t="s">
        <v>190</v>
      </c>
      <c r="L439" s="42" t="s">
        <v>190</v>
      </c>
      <c r="M439" s="44" t="s">
        <v>714</v>
      </c>
    </row>
    <row r="440" spans="1:13" x14ac:dyDescent="0.35">
      <c r="A440" s="42">
        <v>984</v>
      </c>
      <c r="B440" s="42" t="s">
        <v>136</v>
      </c>
      <c r="C440" s="42" t="s">
        <v>199</v>
      </c>
      <c r="D440" s="42" t="s">
        <v>159</v>
      </c>
      <c r="E440" s="42" t="s">
        <v>206</v>
      </c>
      <c r="F440" s="42" t="s">
        <v>206</v>
      </c>
      <c r="G440" s="42" t="s">
        <v>141</v>
      </c>
      <c r="H440" s="42" t="s">
        <v>156</v>
      </c>
      <c r="I440" s="42"/>
      <c r="J440" s="43" t="s">
        <v>143</v>
      </c>
      <c r="K440" s="42" t="s">
        <v>76</v>
      </c>
      <c r="L440" s="42" t="s">
        <v>715</v>
      </c>
      <c r="M440" s="44" t="s">
        <v>716</v>
      </c>
    </row>
    <row r="441" spans="1:13" x14ac:dyDescent="0.35">
      <c r="A441" s="42">
        <v>986</v>
      </c>
      <c r="B441" s="42" t="s">
        <v>136</v>
      </c>
      <c r="C441" s="42" t="s">
        <v>199</v>
      </c>
      <c r="D441" s="42" t="s">
        <v>159</v>
      </c>
      <c r="E441" s="42" t="s">
        <v>206</v>
      </c>
      <c r="F441" s="42" t="s">
        <v>206</v>
      </c>
      <c r="G441" s="42" t="s">
        <v>141</v>
      </c>
      <c r="H441" s="42" t="s">
        <v>163</v>
      </c>
      <c r="I441" s="42"/>
      <c r="J441" s="45" t="s">
        <v>147</v>
      </c>
      <c r="K441" s="42" t="s">
        <v>144</v>
      </c>
      <c r="L441" s="42" t="s">
        <v>144</v>
      </c>
      <c r="M441" s="44" t="s">
        <v>717</v>
      </c>
    </row>
    <row r="442" spans="1:13" x14ac:dyDescent="0.35">
      <c r="A442" s="42">
        <v>986</v>
      </c>
      <c r="B442" s="42" t="s">
        <v>136</v>
      </c>
      <c r="C442" s="42" t="s">
        <v>199</v>
      </c>
      <c r="D442" s="42" t="s">
        <v>159</v>
      </c>
      <c r="E442" s="42" t="s">
        <v>206</v>
      </c>
      <c r="F442" s="42" t="s">
        <v>206</v>
      </c>
      <c r="G442" s="42" t="s">
        <v>141</v>
      </c>
      <c r="H442" s="42" t="s">
        <v>183</v>
      </c>
      <c r="I442" s="42">
        <v>6</v>
      </c>
      <c r="J442" s="43" t="s">
        <v>143</v>
      </c>
      <c r="K442" s="42" t="s">
        <v>184</v>
      </c>
      <c r="L442" s="42" t="s">
        <v>718</v>
      </c>
      <c r="M442" s="44" t="s">
        <v>719</v>
      </c>
    </row>
    <row r="443" spans="1:13" x14ac:dyDescent="0.35">
      <c r="A443" s="42">
        <v>986</v>
      </c>
      <c r="B443" s="42" t="s">
        <v>136</v>
      </c>
      <c r="C443" s="42" t="s">
        <v>199</v>
      </c>
      <c r="D443" s="42" t="s">
        <v>159</v>
      </c>
      <c r="E443" s="42" t="s">
        <v>206</v>
      </c>
      <c r="F443" s="42" t="s">
        <v>206</v>
      </c>
      <c r="G443" s="42" t="s">
        <v>141</v>
      </c>
      <c r="H443" s="42" t="s">
        <v>146</v>
      </c>
      <c r="I443" s="42">
        <v>8</v>
      </c>
      <c r="J443" s="46" t="s">
        <v>222</v>
      </c>
      <c r="K443" s="42" t="s">
        <v>210</v>
      </c>
      <c r="L443" s="42" t="s">
        <v>210</v>
      </c>
      <c r="M443" s="44" t="s">
        <v>720</v>
      </c>
    </row>
    <row r="444" spans="1:13" x14ac:dyDescent="0.35">
      <c r="A444" s="42">
        <v>986</v>
      </c>
      <c r="B444" s="42" t="s">
        <v>136</v>
      </c>
      <c r="C444" s="42" t="s">
        <v>199</v>
      </c>
      <c r="D444" s="42" t="s">
        <v>159</v>
      </c>
      <c r="E444" s="42" t="s">
        <v>206</v>
      </c>
      <c r="F444" s="42" t="s">
        <v>206</v>
      </c>
      <c r="G444" s="42" t="s">
        <v>141</v>
      </c>
      <c r="H444" s="42" t="s">
        <v>150</v>
      </c>
      <c r="I444" s="42"/>
      <c r="J444" s="45" t="s">
        <v>147</v>
      </c>
      <c r="K444" s="42" t="s">
        <v>144</v>
      </c>
      <c r="L444" s="42" t="s">
        <v>144</v>
      </c>
      <c r="M444" s="44" t="s">
        <v>273</v>
      </c>
    </row>
    <row r="445" spans="1:13" x14ac:dyDescent="0.35">
      <c r="A445" s="42">
        <v>986</v>
      </c>
      <c r="B445" s="42" t="s">
        <v>136</v>
      </c>
      <c r="C445" s="42" t="s">
        <v>199</v>
      </c>
      <c r="D445" s="42" t="s">
        <v>159</v>
      </c>
      <c r="E445" s="42" t="s">
        <v>206</v>
      </c>
      <c r="F445" s="42" t="s">
        <v>206</v>
      </c>
      <c r="G445" s="42" t="s">
        <v>141</v>
      </c>
      <c r="H445" s="42" t="s">
        <v>150</v>
      </c>
      <c r="I445" s="42"/>
      <c r="J445" s="45" t="s">
        <v>147</v>
      </c>
      <c r="K445" s="42" t="s">
        <v>268</v>
      </c>
      <c r="L445" s="42" t="s">
        <v>268</v>
      </c>
      <c r="M445" s="44" t="s">
        <v>721</v>
      </c>
    </row>
    <row r="446" spans="1:13" x14ac:dyDescent="0.35">
      <c r="A446" s="42">
        <v>986</v>
      </c>
      <c r="B446" s="42" t="s">
        <v>136</v>
      </c>
      <c r="C446" s="42" t="s">
        <v>199</v>
      </c>
      <c r="D446" s="42" t="s">
        <v>159</v>
      </c>
      <c r="E446" s="42" t="s">
        <v>206</v>
      </c>
      <c r="F446" s="42" t="s">
        <v>206</v>
      </c>
      <c r="G446" s="42" t="s">
        <v>141</v>
      </c>
      <c r="H446" s="42" t="s">
        <v>150</v>
      </c>
      <c r="I446" s="42"/>
      <c r="J446" s="45" t="s">
        <v>147</v>
      </c>
      <c r="K446" s="42" t="s">
        <v>181</v>
      </c>
      <c r="L446" s="42" t="s">
        <v>181</v>
      </c>
      <c r="M446" s="44" t="s">
        <v>722</v>
      </c>
    </row>
    <row r="447" spans="1:13" x14ac:dyDescent="0.35">
      <c r="A447" s="42">
        <v>986</v>
      </c>
      <c r="B447" s="42" t="s">
        <v>136</v>
      </c>
      <c r="C447" s="42" t="s">
        <v>199</v>
      </c>
      <c r="D447" s="42" t="s">
        <v>159</v>
      </c>
      <c r="E447" s="42" t="s">
        <v>206</v>
      </c>
      <c r="F447" s="42" t="s">
        <v>206</v>
      </c>
      <c r="G447" s="42" t="s">
        <v>141</v>
      </c>
      <c r="H447" s="42" t="s">
        <v>156</v>
      </c>
      <c r="I447" s="42"/>
      <c r="J447" s="43" t="s">
        <v>143</v>
      </c>
      <c r="K447" s="42" t="s">
        <v>305</v>
      </c>
      <c r="L447" s="42" t="s">
        <v>723</v>
      </c>
      <c r="M447" s="44" t="s">
        <v>724</v>
      </c>
    </row>
    <row r="448" spans="1:13" ht="37.5" x14ac:dyDescent="0.35">
      <c r="A448" s="42">
        <v>987</v>
      </c>
      <c r="B448" s="42" t="s">
        <v>136</v>
      </c>
      <c r="C448" s="42" t="s">
        <v>137</v>
      </c>
      <c r="D448" s="42" t="s">
        <v>159</v>
      </c>
      <c r="E448" s="42" t="s">
        <v>139</v>
      </c>
      <c r="F448" s="42" t="s">
        <v>140</v>
      </c>
      <c r="G448" s="42" t="s">
        <v>141</v>
      </c>
      <c r="H448" s="42" t="s">
        <v>146</v>
      </c>
      <c r="I448" s="42">
        <v>10</v>
      </c>
      <c r="J448" s="45" t="s">
        <v>147</v>
      </c>
      <c r="K448" s="42" t="s">
        <v>144</v>
      </c>
      <c r="L448" s="42" t="s">
        <v>725</v>
      </c>
      <c r="M448" s="44" t="s">
        <v>726</v>
      </c>
    </row>
    <row r="449" spans="1:13" x14ac:dyDescent="0.35">
      <c r="A449" s="42">
        <v>987</v>
      </c>
      <c r="B449" s="42" t="s">
        <v>136</v>
      </c>
      <c r="C449" s="42" t="s">
        <v>137</v>
      </c>
      <c r="D449" s="42" t="s">
        <v>159</v>
      </c>
      <c r="E449" s="42" t="s">
        <v>139</v>
      </c>
      <c r="F449" s="42" t="s">
        <v>140</v>
      </c>
      <c r="G449" s="42" t="s">
        <v>141</v>
      </c>
      <c r="H449" s="42" t="s">
        <v>150</v>
      </c>
      <c r="I449" s="42"/>
      <c r="J449" s="45" t="s">
        <v>147</v>
      </c>
      <c r="K449" s="42" t="s">
        <v>84</v>
      </c>
      <c r="L449" s="42" t="s">
        <v>401</v>
      </c>
      <c r="M449" s="44" t="s">
        <v>727</v>
      </c>
    </row>
    <row r="450" spans="1:13" x14ac:dyDescent="0.35">
      <c r="A450" s="42">
        <v>987</v>
      </c>
      <c r="B450" s="42" t="s">
        <v>136</v>
      </c>
      <c r="C450" s="42" t="s">
        <v>137</v>
      </c>
      <c r="D450" s="42" t="s">
        <v>159</v>
      </c>
      <c r="E450" s="42" t="s">
        <v>139</v>
      </c>
      <c r="F450" s="42" t="s">
        <v>140</v>
      </c>
      <c r="G450" s="42" t="s">
        <v>141</v>
      </c>
      <c r="H450" s="42" t="s">
        <v>150</v>
      </c>
      <c r="I450" s="42"/>
      <c r="J450" s="45" t="s">
        <v>147</v>
      </c>
      <c r="K450" s="42" t="s">
        <v>78</v>
      </c>
      <c r="L450" s="42" t="s">
        <v>78</v>
      </c>
      <c r="M450" s="44" t="s">
        <v>728</v>
      </c>
    </row>
    <row r="451" spans="1:13" ht="25" x14ac:dyDescent="0.35">
      <c r="A451" s="42">
        <v>987</v>
      </c>
      <c r="B451" s="42" t="s">
        <v>136</v>
      </c>
      <c r="C451" s="42" t="s">
        <v>137</v>
      </c>
      <c r="D451" s="42" t="s">
        <v>159</v>
      </c>
      <c r="E451" s="42" t="s">
        <v>139</v>
      </c>
      <c r="F451" s="42" t="s">
        <v>140</v>
      </c>
      <c r="G451" s="42" t="s">
        <v>141</v>
      </c>
      <c r="H451" s="42" t="s">
        <v>150</v>
      </c>
      <c r="I451" s="42"/>
      <c r="J451" s="45" t="s">
        <v>147</v>
      </c>
      <c r="K451" s="42" t="s">
        <v>268</v>
      </c>
      <c r="L451" s="42" t="s">
        <v>268</v>
      </c>
      <c r="M451" s="44" t="s">
        <v>729</v>
      </c>
    </row>
    <row r="452" spans="1:13" ht="25" x14ac:dyDescent="0.35">
      <c r="A452" s="42">
        <v>987</v>
      </c>
      <c r="B452" s="42" t="s">
        <v>136</v>
      </c>
      <c r="C452" s="42" t="s">
        <v>137</v>
      </c>
      <c r="D452" s="42" t="s">
        <v>159</v>
      </c>
      <c r="E452" s="42" t="s">
        <v>139</v>
      </c>
      <c r="F452" s="42" t="s">
        <v>140</v>
      </c>
      <c r="G452" s="42" t="s">
        <v>141</v>
      </c>
      <c r="H452" s="42" t="s">
        <v>156</v>
      </c>
      <c r="I452" s="42"/>
      <c r="J452" s="43" t="s">
        <v>143</v>
      </c>
      <c r="K452" s="42" t="s">
        <v>333</v>
      </c>
      <c r="L452" s="42" t="s">
        <v>556</v>
      </c>
      <c r="M452" s="44" t="s">
        <v>730</v>
      </c>
    </row>
    <row r="453" spans="1:13" ht="25" x14ac:dyDescent="0.35">
      <c r="A453" s="42">
        <v>998</v>
      </c>
      <c r="B453" s="42" t="s">
        <v>731</v>
      </c>
      <c r="C453" s="42" t="s">
        <v>199</v>
      </c>
      <c r="D453" s="42" t="s">
        <v>159</v>
      </c>
      <c r="E453" s="42" t="s">
        <v>139</v>
      </c>
      <c r="F453" s="42" t="s">
        <v>140</v>
      </c>
      <c r="G453" s="42" t="s">
        <v>141</v>
      </c>
      <c r="H453" s="42" t="s">
        <v>146</v>
      </c>
      <c r="I453" s="42">
        <v>9</v>
      </c>
      <c r="J453" s="45" t="s">
        <v>147</v>
      </c>
      <c r="K453" s="42" t="s">
        <v>305</v>
      </c>
      <c r="L453" s="42" t="s">
        <v>732</v>
      </c>
      <c r="M453" s="44" t="s">
        <v>733</v>
      </c>
    </row>
    <row r="454" spans="1:13" x14ac:dyDescent="0.35">
      <c r="A454" s="42">
        <v>998</v>
      </c>
      <c r="B454" s="42" t="s">
        <v>731</v>
      </c>
      <c r="C454" s="42" t="s">
        <v>199</v>
      </c>
      <c r="D454" s="42" t="s">
        <v>159</v>
      </c>
      <c r="E454" s="42" t="s">
        <v>139</v>
      </c>
      <c r="F454" s="42" t="s">
        <v>140</v>
      </c>
      <c r="G454" s="42" t="s">
        <v>141</v>
      </c>
      <c r="H454" s="42" t="s">
        <v>150</v>
      </c>
      <c r="I454" s="42"/>
      <c r="J454" s="45" t="s">
        <v>147</v>
      </c>
      <c r="K454" s="42" t="s">
        <v>190</v>
      </c>
      <c r="L454" s="42" t="s">
        <v>190</v>
      </c>
      <c r="M454" s="44" t="s">
        <v>734</v>
      </c>
    </row>
    <row r="455" spans="1:13" x14ac:dyDescent="0.35">
      <c r="A455" s="42">
        <v>998</v>
      </c>
      <c r="B455" s="42" t="s">
        <v>731</v>
      </c>
      <c r="C455" s="42" t="s">
        <v>199</v>
      </c>
      <c r="D455" s="42" t="s">
        <v>159</v>
      </c>
      <c r="E455" s="42" t="s">
        <v>139</v>
      </c>
      <c r="F455" s="42" t="s">
        <v>140</v>
      </c>
      <c r="G455" s="42" t="s">
        <v>141</v>
      </c>
      <c r="H455" s="42" t="s">
        <v>150</v>
      </c>
      <c r="I455" s="42"/>
      <c r="J455" s="45" t="s">
        <v>147</v>
      </c>
      <c r="K455" s="42" t="s">
        <v>196</v>
      </c>
      <c r="L455" s="42" t="s">
        <v>614</v>
      </c>
      <c r="M455" s="44" t="s">
        <v>735</v>
      </c>
    </row>
    <row r="456" spans="1:13" x14ac:dyDescent="0.35">
      <c r="A456" s="42">
        <v>998</v>
      </c>
      <c r="B456" s="42" t="s">
        <v>731</v>
      </c>
      <c r="C456" s="42" t="s">
        <v>199</v>
      </c>
      <c r="D456" s="42" t="s">
        <v>159</v>
      </c>
      <c r="E456" s="42" t="s">
        <v>139</v>
      </c>
      <c r="F456" s="42" t="s">
        <v>140</v>
      </c>
      <c r="G456" s="42" t="s">
        <v>141</v>
      </c>
      <c r="H456" s="42" t="s">
        <v>150</v>
      </c>
      <c r="I456" s="42"/>
      <c r="J456" s="45" t="s">
        <v>147</v>
      </c>
      <c r="K456" s="42" t="s">
        <v>305</v>
      </c>
      <c r="L456" s="42" t="s">
        <v>736</v>
      </c>
      <c r="M456" s="44" t="s">
        <v>737</v>
      </c>
    </row>
    <row r="457" spans="1:13" x14ac:dyDescent="0.35">
      <c r="A457" s="42">
        <v>998</v>
      </c>
      <c r="B457" s="42" t="s">
        <v>731</v>
      </c>
      <c r="C457" s="42" t="s">
        <v>199</v>
      </c>
      <c r="D457" s="42" t="s">
        <v>159</v>
      </c>
      <c r="E457" s="42" t="s">
        <v>139</v>
      </c>
      <c r="F457" s="42" t="s">
        <v>140</v>
      </c>
      <c r="G457" s="42" t="s">
        <v>141</v>
      </c>
      <c r="H457" s="42" t="s">
        <v>156</v>
      </c>
      <c r="I457" s="42"/>
      <c r="J457" s="43" t="s">
        <v>143</v>
      </c>
      <c r="K457" s="42" t="s">
        <v>196</v>
      </c>
      <c r="L457" s="42" t="s">
        <v>217</v>
      </c>
      <c r="M457" s="44" t="s">
        <v>738</v>
      </c>
    </row>
    <row r="458" spans="1:13" x14ac:dyDescent="0.35">
      <c r="A458" s="42">
        <v>1208</v>
      </c>
      <c r="B458" s="42" t="s">
        <v>136</v>
      </c>
      <c r="C458" s="42" t="s">
        <v>199</v>
      </c>
      <c r="D458" s="42" t="s">
        <v>176</v>
      </c>
      <c r="E458" s="42" t="s">
        <v>160</v>
      </c>
      <c r="F458" s="42" t="s">
        <v>160</v>
      </c>
      <c r="G458" s="42" t="s">
        <v>200</v>
      </c>
      <c r="H458" s="42" t="s">
        <v>163</v>
      </c>
      <c r="I458" s="42"/>
      <c r="J458" s="45" t="s">
        <v>147</v>
      </c>
      <c r="K458" s="42" t="s">
        <v>144</v>
      </c>
      <c r="L458" s="42" t="s">
        <v>144</v>
      </c>
      <c r="M458" s="44" t="s">
        <v>739</v>
      </c>
    </row>
    <row r="459" spans="1:13" ht="25" x14ac:dyDescent="0.35">
      <c r="A459" s="42">
        <v>1208</v>
      </c>
      <c r="B459" s="42" t="s">
        <v>136</v>
      </c>
      <c r="C459" s="42" t="s">
        <v>199</v>
      </c>
      <c r="D459" s="42" t="s">
        <v>176</v>
      </c>
      <c r="E459" s="42" t="s">
        <v>160</v>
      </c>
      <c r="F459" s="42" t="s">
        <v>160</v>
      </c>
      <c r="G459" s="42" t="s">
        <v>200</v>
      </c>
      <c r="H459" s="42" t="s">
        <v>146</v>
      </c>
      <c r="I459" s="42">
        <v>8</v>
      </c>
      <c r="J459" s="46" t="s">
        <v>222</v>
      </c>
      <c r="K459" s="42" t="s">
        <v>181</v>
      </c>
      <c r="L459" s="42" t="s">
        <v>337</v>
      </c>
      <c r="M459" s="44" t="s">
        <v>740</v>
      </c>
    </row>
    <row r="460" spans="1:13" x14ac:dyDescent="0.35">
      <c r="A460" s="42">
        <v>1208</v>
      </c>
      <c r="B460" s="42" t="s">
        <v>136</v>
      </c>
      <c r="C460" s="42" t="s">
        <v>199</v>
      </c>
      <c r="D460" s="42" t="s">
        <v>176</v>
      </c>
      <c r="E460" s="42" t="s">
        <v>160</v>
      </c>
      <c r="F460" s="42" t="s">
        <v>160</v>
      </c>
      <c r="G460" s="42" t="s">
        <v>200</v>
      </c>
      <c r="H460" s="42" t="s">
        <v>150</v>
      </c>
      <c r="I460" s="42"/>
      <c r="J460" s="45" t="s">
        <v>147</v>
      </c>
      <c r="K460" s="42" t="s">
        <v>144</v>
      </c>
      <c r="L460" s="42" t="s">
        <v>144</v>
      </c>
      <c r="M460" s="44" t="s">
        <v>741</v>
      </c>
    </row>
    <row r="461" spans="1:13" x14ac:dyDescent="0.35">
      <c r="A461" s="42">
        <v>1208</v>
      </c>
      <c r="B461" s="42" t="s">
        <v>136</v>
      </c>
      <c r="C461" s="42" t="s">
        <v>199</v>
      </c>
      <c r="D461" s="42" t="s">
        <v>176</v>
      </c>
      <c r="E461" s="42" t="s">
        <v>160</v>
      </c>
      <c r="F461" s="42" t="s">
        <v>160</v>
      </c>
      <c r="G461" s="42" t="s">
        <v>200</v>
      </c>
      <c r="H461" s="42" t="s">
        <v>150</v>
      </c>
      <c r="I461" s="42"/>
      <c r="J461" s="45" t="s">
        <v>147</v>
      </c>
      <c r="K461" s="42" t="s">
        <v>82</v>
      </c>
      <c r="L461" s="42" t="s">
        <v>254</v>
      </c>
      <c r="M461" s="44" t="s">
        <v>742</v>
      </c>
    </row>
    <row r="462" spans="1:13" x14ac:dyDescent="0.35">
      <c r="A462" s="42">
        <v>1208</v>
      </c>
      <c r="B462" s="42" t="s">
        <v>136</v>
      </c>
      <c r="C462" s="42" t="s">
        <v>199</v>
      </c>
      <c r="D462" s="42" t="s">
        <v>176</v>
      </c>
      <c r="E462" s="42" t="s">
        <v>160</v>
      </c>
      <c r="F462" s="42" t="s">
        <v>160</v>
      </c>
      <c r="G462" s="42" t="s">
        <v>200</v>
      </c>
      <c r="H462" s="42" t="s">
        <v>150</v>
      </c>
      <c r="I462" s="42"/>
      <c r="J462" s="45" t="s">
        <v>147</v>
      </c>
      <c r="K462" s="42" t="s">
        <v>78</v>
      </c>
      <c r="L462" s="42" t="s">
        <v>78</v>
      </c>
      <c r="M462" s="44" t="s">
        <v>743</v>
      </c>
    </row>
    <row r="463" spans="1:13" x14ac:dyDescent="0.35">
      <c r="A463" s="42">
        <v>1208</v>
      </c>
      <c r="B463" s="42" t="s">
        <v>136</v>
      </c>
      <c r="C463" s="42" t="s">
        <v>199</v>
      </c>
      <c r="D463" s="42" t="s">
        <v>176</v>
      </c>
      <c r="E463" s="42" t="s">
        <v>160</v>
      </c>
      <c r="F463" s="42" t="s">
        <v>160</v>
      </c>
      <c r="G463" s="42" t="s">
        <v>200</v>
      </c>
      <c r="H463" s="42" t="s">
        <v>156</v>
      </c>
      <c r="I463" s="42"/>
      <c r="J463" s="43" t="s">
        <v>143</v>
      </c>
      <c r="K463" s="42" t="s">
        <v>78</v>
      </c>
      <c r="L463" s="42" t="s">
        <v>78</v>
      </c>
      <c r="M463" s="44" t="s">
        <v>744</v>
      </c>
    </row>
    <row r="464" spans="1:13" ht="25" x14ac:dyDescent="0.35">
      <c r="A464" s="42">
        <v>1004</v>
      </c>
      <c r="B464" s="42" t="s">
        <v>136</v>
      </c>
      <c r="C464" s="42" t="s">
        <v>137</v>
      </c>
      <c r="D464" s="42" t="s">
        <v>176</v>
      </c>
      <c r="E464" s="42" t="s">
        <v>139</v>
      </c>
      <c r="F464" s="42" t="s">
        <v>140</v>
      </c>
      <c r="G464" s="42" t="s">
        <v>141</v>
      </c>
      <c r="H464" s="42" t="s">
        <v>163</v>
      </c>
      <c r="I464" s="42"/>
      <c r="J464" s="43" t="s">
        <v>143</v>
      </c>
      <c r="K464" s="42" t="s">
        <v>144</v>
      </c>
      <c r="L464" s="42" t="s">
        <v>346</v>
      </c>
      <c r="M464" s="44" t="s">
        <v>745</v>
      </c>
    </row>
    <row r="465" spans="1:13" x14ac:dyDescent="0.35">
      <c r="A465" s="42">
        <v>1004</v>
      </c>
      <c r="B465" s="42" t="s">
        <v>136</v>
      </c>
      <c r="C465" s="42" t="s">
        <v>137</v>
      </c>
      <c r="D465" s="42" t="s">
        <v>176</v>
      </c>
      <c r="E465" s="42" t="s">
        <v>139</v>
      </c>
      <c r="F465" s="42" t="s">
        <v>140</v>
      </c>
      <c r="G465" s="42" t="s">
        <v>141</v>
      </c>
      <c r="H465" s="42" t="s">
        <v>146</v>
      </c>
      <c r="I465" s="42">
        <v>5</v>
      </c>
      <c r="J465" s="43" t="s">
        <v>143</v>
      </c>
      <c r="K465" s="42" t="s">
        <v>196</v>
      </c>
      <c r="L465" s="42" t="s">
        <v>196</v>
      </c>
      <c r="M465" s="44" t="s">
        <v>746</v>
      </c>
    </row>
    <row r="466" spans="1:13" x14ac:dyDescent="0.35">
      <c r="A466" s="42">
        <v>1004</v>
      </c>
      <c r="B466" s="42" t="s">
        <v>136</v>
      </c>
      <c r="C466" s="42" t="s">
        <v>137</v>
      </c>
      <c r="D466" s="42" t="s">
        <v>176</v>
      </c>
      <c r="E466" s="42" t="s">
        <v>139</v>
      </c>
      <c r="F466" s="42" t="s">
        <v>140</v>
      </c>
      <c r="G466" s="42" t="s">
        <v>141</v>
      </c>
      <c r="H466" s="42" t="s">
        <v>150</v>
      </c>
      <c r="I466" s="42"/>
      <c r="J466" s="45" t="s">
        <v>147</v>
      </c>
      <c r="K466" s="42" t="s">
        <v>144</v>
      </c>
      <c r="L466" s="42" t="s">
        <v>144</v>
      </c>
      <c r="M466" s="44" t="s">
        <v>747</v>
      </c>
    </row>
    <row r="467" spans="1:13" x14ac:dyDescent="0.35">
      <c r="A467" s="42">
        <v>1004</v>
      </c>
      <c r="B467" s="42" t="s">
        <v>136</v>
      </c>
      <c r="C467" s="42" t="s">
        <v>137</v>
      </c>
      <c r="D467" s="42" t="s">
        <v>176</v>
      </c>
      <c r="E467" s="42" t="s">
        <v>139</v>
      </c>
      <c r="F467" s="42" t="s">
        <v>140</v>
      </c>
      <c r="G467" s="42" t="s">
        <v>141</v>
      </c>
      <c r="H467" s="42" t="s">
        <v>156</v>
      </c>
      <c r="I467" s="42"/>
      <c r="J467" s="43" t="s">
        <v>143</v>
      </c>
      <c r="K467" s="42" t="s">
        <v>144</v>
      </c>
      <c r="L467" s="42" t="s">
        <v>250</v>
      </c>
      <c r="M467" s="44" t="s">
        <v>748</v>
      </c>
    </row>
    <row r="468" spans="1:13" ht="25" x14ac:dyDescent="0.35">
      <c r="A468" s="42">
        <v>1214</v>
      </c>
      <c r="B468" s="42" t="s">
        <v>136</v>
      </c>
      <c r="C468" s="42" t="s">
        <v>137</v>
      </c>
      <c r="D468" s="42" t="s">
        <v>159</v>
      </c>
      <c r="E468" s="42" t="s">
        <v>160</v>
      </c>
      <c r="F468" s="42" t="s">
        <v>160</v>
      </c>
      <c r="G468" s="42" t="s">
        <v>141</v>
      </c>
      <c r="H468" s="42" t="s">
        <v>163</v>
      </c>
      <c r="I468" s="42"/>
      <c r="J468" s="45" t="s">
        <v>147</v>
      </c>
      <c r="K468" s="42" t="s">
        <v>190</v>
      </c>
      <c r="L468" s="42" t="s">
        <v>190</v>
      </c>
      <c r="M468" s="44" t="s">
        <v>749</v>
      </c>
    </row>
    <row r="469" spans="1:13" ht="25" x14ac:dyDescent="0.35">
      <c r="A469" s="42">
        <v>1214</v>
      </c>
      <c r="B469" s="42" t="s">
        <v>136</v>
      </c>
      <c r="C469" s="42" t="s">
        <v>137</v>
      </c>
      <c r="D469" s="42" t="s">
        <v>159</v>
      </c>
      <c r="E469" s="42" t="s">
        <v>160</v>
      </c>
      <c r="F469" s="42" t="s">
        <v>160</v>
      </c>
      <c r="G469" s="42" t="s">
        <v>141</v>
      </c>
      <c r="H469" s="42" t="s">
        <v>180</v>
      </c>
      <c r="I469" s="42">
        <v>2</v>
      </c>
      <c r="J469" s="43" t="s">
        <v>143</v>
      </c>
      <c r="K469" s="42" t="s">
        <v>196</v>
      </c>
      <c r="L469" s="42" t="s">
        <v>517</v>
      </c>
      <c r="M469" s="44" t="s">
        <v>750</v>
      </c>
    </row>
    <row r="470" spans="1:13" x14ac:dyDescent="0.35">
      <c r="A470" s="42">
        <v>1214</v>
      </c>
      <c r="B470" s="42" t="s">
        <v>136</v>
      </c>
      <c r="C470" s="42" t="s">
        <v>137</v>
      </c>
      <c r="D470" s="42" t="s">
        <v>159</v>
      </c>
      <c r="E470" s="42" t="s">
        <v>160</v>
      </c>
      <c r="F470" s="42" t="s">
        <v>160</v>
      </c>
      <c r="G470" s="42" t="s">
        <v>141</v>
      </c>
      <c r="H470" s="42" t="s">
        <v>146</v>
      </c>
      <c r="I470" s="42">
        <v>8</v>
      </c>
      <c r="J470" s="46" t="s">
        <v>222</v>
      </c>
      <c r="K470" s="42" t="s">
        <v>144</v>
      </c>
      <c r="L470" s="42" t="s">
        <v>294</v>
      </c>
      <c r="M470" s="44" t="s">
        <v>751</v>
      </c>
    </row>
    <row r="471" spans="1:13" x14ac:dyDescent="0.35">
      <c r="A471" s="42">
        <v>1214</v>
      </c>
      <c r="B471" s="42" t="s">
        <v>136</v>
      </c>
      <c r="C471" s="42" t="s">
        <v>137</v>
      </c>
      <c r="D471" s="42" t="s">
        <v>159</v>
      </c>
      <c r="E471" s="42" t="s">
        <v>160</v>
      </c>
      <c r="F471" s="42" t="s">
        <v>160</v>
      </c>
      <c r="G471" s="42" t="s">
        <v>141</v>
      </c>
      <c r="H471" s="42" t="s">
        <v>150</v>
      </c>
      <c r="I471" s="42"/>
      <c r="J471" s="45" t="s">
        <v>147</v>
      </c>
      <c r="K471" s="42" t="s">
        <v>144</v>
      </c>
      <c r="L471" s="42" t="s">
        <v>144</v>
      </c>
      <c r="M471" s="44" t="s">
        <v>752</v>
      </c>
    </row>
    <row r="472" spans="1:13" x14ac:dyDescent="0.35">
      <c r="A472" s="42">
        <v>1214</v>
      </c>
      <c r="B472" s="42" t="s">
        <v>136</v>
      </c>
      <c r="C472" s="42" t="s">
        <v>137</v>
      </c>
      <c r="D472" s="42" t="s">
        <v>159</v>
      </c>
      <c r="E472" s="42" t="s">
        <v>160</v>
      </c>
      <c r="F472" s="42" t="s">
        <v>160</v>
      </c>
      <c r="G472" s="42" t="s">
        <v>141</v>
      </c>
      <c r="H472" s="42" t="s">
        <v>156</v>
      </c>
      <c r="I472" s="42"/>
      <c r="J472" s="43" t="s">
        <v>143</v>
      </c>
      <c r="K472" s="42" t="s">
        <v>190</v>
      </c>
      <c r="L472" s="42" t="s">
        <v>190</v>
      </c>
      <c r="M472" s="44" t="s">
        <v>753</v>
      </c>
    </row>
    <row r="473" spans="1:13" x14ac:dyDescent="0.35">
      <c r="A473" s="42">
        <v>1008</v>
      </c>
      <c r="B473" s="42" t="s">
        <v>136</v>
      </c>
      <c r="C473" s="42" t="s">
        <v>199</v>
      </c>
      <c r="D473" s="42" t="s">
        <v>176</v>
      </c>
      <c r="E473" s="42" t="s">
        <v>139</v>
      </c>
      <c r="F473" s="42" t="s">
        <v>140</v>
      </c>
      <c r="G473" s="42" t="s">
        <v>141</v>
      </c>
      <c r="H473" s="42" t="s">
        <v>146</v>
      </c>
      <c r="I473" s="42">
        <v>9</v>
      </c>
      <c r="J473" s="45" t="s">
        <v>147</v>
      </c>
      <c r="K473" s="42" t="s">
        <v>190</v>
      </c>
      <c r="L473" s="42" t="s">
        <v>190</v>
      </c>
      <c r="M473" s="44" t="s">
        <v>754</v>
      </c>
    </row>
    <row r="474" spans="1:13" x14ac:dyDescent="0.35">
      <c r="A474" s="42">
        <v>1008</v>
      </c>
      <c r="B474" s="42" t="s">
        <v>136</v>
      </c>
      <c r="C474" s="42" t="s">
        <v>199</v>
      </c>
      <c r="D474" s="42" t="s">
        <v>176</v>
      </c>
      <c r="E474" s="42" t="s">
        <v>139</v>
      </c>
      <c r="F474" s="42" t="s">
        <v>140</v>
      </c>
      <c r="G474" s="42" t="s">
        <v>141</v>
      </c>
      <c r="H474" s="42" t="s">
        <v>150</v>
      </c>
      <c r="I474" s="42"/>
      <c r="J474" s="45" t="s">
        <v>147</v>
      </c>
      <c r="K474" s="42" t="s">
        <v>144</v>
      </c>
      <c r="L474" s="42" t="s">
        <v>144</v>
      </c>
      <c r="M474" s="44" t="s">
        <v>755</v>
      </c>
    </row>
    <row r="475" spans="1:13" x14ac:dyDescent="0.35">
      <c r="A475" s="42">
        <v>1008</v>
      </c>
      <c r="B475" s="42" t="s">
        <v>136</v>
      </c>
      <c r="C475" s="42" t="s">
        <v>199</v>
      </c>
      <c r="D475" s="42" t="s">
        <v>176</v>
      </c>
      <c r="E475" s="42" t="s">
        <v>139</v>
      </c>
      <c r="F475" s="42" t="s">
        <v>140</v>
      </c>
      <c r="G475" s="42" t="s">
        <v>141</v>
      </c>
      <c r="H475" s="42" t="s">
        <v>150</v>
      </c>
      <c r="I475" s="42"/>
      <c r="J475" s="45" t="s">
        <v>147</v>
      </c>
      <c r="K475" s="42" t="s">
        <v>190</v>
      </c>
      <c r="L475" s="42" t="s">
        <v>190</v>
      </c>
      <c r="M475" s="44" t="s">
        <v>756</v>
      </c>
    </row>
    <row r="476" spans="1:13" x14ac:dyDescent="0.35">
      <c r="A476" s="42">
        <v>1008</v>
      </c>
      <c r="B476" s="42" t="s">
        <v>136</v>
      </c>
      <c r="C476" s="42" t="s">
        <v>199</v>
      </c>
      <c r="D476" s="42" t="s">
        <v>176</v>
      </c>
      <c r="E476" s="42" t="s">
        <v>139</v>
      </c>
      <c r="F476" s="42" t="s">
        <v>140</v>
      </c>
      <c r="G476" s="42" t="s">
        <v>141</v>
      </c>
      <c r="H476" s="42" t="s">
        <v>156</v>
      </c>
      <c r="I476" s="42"/>
      <c r="J476" s="43" t="s">
        <v>143</v>
      </c>
      <c r="K476" s="42" t="s">
        <v>196</v>
      </c>
      <c r="L476" s="42" t="s">
        <v>196</v>
      </c>
      <c r="M476" s="44" t="s">
        <v>757</v>
      </c>
    </row>
    <row r="477" spans="1:13" ht="25" x14ac:dyDescent="0.35">
      <c r="A477" s="42">
        <v>1009</v>
      </c>
      <c r="B477" s="42" t="s">
        <v>136</v>
      </c>
      <c r="C477" s="42" t="s">
        <v>137</v>
      </c>
      <c r="D477" s="42" t="s">
        <v>219</v>
      </c>
      <c r="E477" s="42" t="s">
        <v>206</v>
      </c>
      <c r="F477" s="42" t="s">
        <v>206</v>
      </c>
      <c r="G477" s="42" t="s">
        <v>141</v>
      </c>
      <c r="H477" s="42" t="s">
        <v>177</v>
      </c>
      <c r="I477" s="42">
        <v>3</v>
      </c>
      <c r="J477" s="43" t="s">
        <v>143</v>
      </c>
      <c r="K477" s="42" t="s">
        <v>53</v>
      </c>
      <c r="L477" s="42" t="s">
        <v>758</v>
      </c>
      <c r="M477" s="44" t="s">
        <v>759</v>
      </c>
    </row>
    <row r="478" spans="1:13" x14ac:dyDescent="0.35">
      <c r="A478" s="42">
        <v>1009</v>
      </c>
      <c r="B478" s="42" t="s">
        <v>136</v>
      </c>
      <c r="C478" s="42" t="s">
        <v>137</v>
      </c>
      <c r="D478" s="42" t="s">
        <v>219</v>
      </c>
      <c r="E478" s="42" t="s">
        <v>206</v>
      </c>
      <c r="F478" s="42" t="s">
        <v>206</v>
      </c>
      <c r="G478" s="42" t="s">
        <v>141</v>
      </c>
      <c r="H478" s="42" t="s">
        <v>146</v>
      </c>
      <c r="I478" s="42">
        <v>9</v>
      </c>
      <c r="J478" s="45" t="s">
        <v>147</v>
      </c>
      <c r="K478" s="42" t="s">
        <v>82</v>
      </c>
      <c r="L478" s="42" t="s">
        <v>82</v>
      </c>
      <c r="M478" s="44" t="s">
        <v>760</v>
      </c>
    </row>
    <row r="479" spans="1:13" x14ac:dyDescent="0.35">
      <c r="A479" s="42">
        <v>1009</v>
      </c>
      <c r="B479" s="42" t="s">
        <v>136</v>
      </c>
      <c r="C479" s="42" t="s">
        <v>137</v>
      </c>
      <c r="D479" s="42" t="s">
        <v>219</v>
      </c>
      <c r="E479" s="42" t="s">
        <v>206</v>
      </c>
      <c r="F479" s="42" t="s">
        <v>206</v>
      </c>
      <c r="G479" s="42" t="s">
        <v>141</v>
      </c>
      <c r="H479" s="42" t="s">
        <v>150</v>
      </c>
      <c r="I479" s="42"/>
      <c r="J479" s="45" t="s">
        <v>147</v>
      </c>
      <c r="K479" s="42" t="s">
        <v>210</v>
      </c>
      <c r="L479" s="42" t="s">
        <v>210</v>
      </c>
      <c r="M479" s="44" t="s">
        <v>761</v>
      </c>
    </row>
    <row r="480" spans="1:13" x14ac:dyDescent="0.35">
      <c r="A480" s="42">
        <v>1009</v>
      </c>
      <c r="B480" s="42" t="s">
        <v>136</v>
      </c>
      <c r="C480" s="42" t="s">
        <v>137</v>
      </c>
      <c r="D480" s="42" t="s">
        <v>219</v>
      </c>
      <c r="E480" s="42" t="s">
        <v>206</v>
      </c>
      <c r="F480" s="42" t="s">
        <v>206</v>
      </c>
      <c r="G480" s="42" t="s">
        <v>141</v>
      </c>
      <c r="H480" s="42" t="s">
        <v>150</v>
      </c>
      <c r="I480" s="42"/>
      <c r="J480" s="45" t="s">
        <v>147</v>
      </c>
      <c r="K480" s="42" t="s">
        <v>210</v>
      </c>
      <c r="L480" s="42" t="s">
        <v>210</v>
      </c>
      <c r="M480" s="44" t="s">
        <v>762</v>
      </c>
    </row>
    <row r="481" spans="1:13" x14ac:dyDescent="0.35">
      <c r="A481" s="42">
        <v>1009</v>
      </c>
      <c r="B481" s="42" t="s">
        <v>136</v>
      </c>
      <c r="C481" s="42" t="s">
        <v>137</v>
      </c>
      <c r="D481" s="42" t="s">
        <v>219</v>
      </c>
      <c r="E481" s="42" t="s">
        <v>206</v>
      </c>
      <c r="F481" s="42" t="s">
        <v>206</v>
      </c>
      <c r="G481" s="42" t="s">
        <v>141</v>
      </c>
      <c r="H481" s="42" t="s">
        <v>150</v>
      </c>
      <c r="I481" s="42"/>
      <c r="J481" s="45" t="s">
        <v>147</v>
      </c>
      <c r="K481" s="42" t="s">
        <v>76</v>
      </c>
      <c r="L481" s="42" t="s">
        <v>76</v>
      </c>
      <c r="M481" s="44" t="s">
        <v>763</v>
      </c>
    </row>
    <row r="482" spans="1:13" x14ac:dyDescent="0.35">
      <c r="A482" s="42">
        <v>1009</v>
      </c>
      <c r="B482" s="42" t="s">
        <v>136</v>
      </c>
      <c r="C482" s="42" t="s">
        <v>137</v>
      </c>
      <c r="D482" s="42" t="s">
        <v>219</v>
      </c>
      <c r="E482" s="42" t="s">
        <v>206</v>
      </c>
      <c r="F482" s="42" t="s">
        <v>206</v>
      </c>
      <c r="G482" s="42" t="s">
        <v>141</v>
      </c>
      <c r="H482" s="42" t="s">
        <v>156</v>
      </c>
      <c r="I482" s="42"/>
      <c r="J482" s="43" t="s">
        <v>143</v>
      </c>
      <c r="K482" s="42" t="s">
        <v>53</v>
      </c>
      <c r="L482" s="42" t="s">
        <v>289</v>
      </c>
      <c r="M482" s="44" t="s">
        <v>764</v>
      </c>
    </row>
    <row r="483" spans="1:13" ht="50" x14ac:dyDescent="0.35">
      <c r="A483" s="42">
        <v>1319</v>
      </c>
      <c r="B483" s="42" t="s">
        <v>175</v>
      </c>
      <c r="C483" s="42" t="s">
        <v>199</v>
      </c>
      <c r="D483" s="42" t="s">
        <v>176</v>
      </c>
      <c r="E483" s="42" t="s">
        <v>160</v>
      </c>
      <c r="F483" s="42" t="s">
        <v>160</v>
      </c>
      <c r="G483" s="42" t="s">
        <v>141</v>
      </c>
      <c r="H483" s="42" t="s">
        <v>146</v>
      </c>
      <c r="I483" s="42">
        <v>8</v>
      </c>
      <c r="J483" s="46" t="s">
        <v>222</v>
      </c>
      <c r="K483" s="42" t="s">
        <v>181</v>
      </c>
      <c r="L483" s="42" t="s">
        <v>397</v>
      </c>
      <c r="M483" s="44" t="s">
        <v>765</v>
      </c>
    </row>
    <row r="484" spans="1:13" x14ac:dyDescent="0.35">
      <c r="A484" s="42">
        <v>1319</v>
      </c>
      <c r="B484" s="42" t="s">
        <v>175</v>
      </c>
      <c r="C484" s="42" t="s">
        <v>199</v>
      </c>
      <c r="D484" s="42" t="s">
        <v>176</v>
      </c>
      <c r="E484" s="42" t="s">
        <v>160</v>
      </c>
      <c r="F484" s="42" t="s">
        <v>160</v>
      </c>
      <c r="G484" s="42" t="s">
        <v>141</v>
      </c>
      <c r="H484" s="42" t="s">
        <v>150</v>
      </c>
      <c r="I484" s="42"/>
      <c r="J484" s="45" t="s">
        <v>147</v>
      </c>
      <c r="K484" s="42" t="s">
        <v>78</v>
      </c>
      <c r="L484" s="42" t="s">
        <v>78</v>
      </c>
      <c r="M484" s="44" t="s">
        <v>766</v>
      </c>
    </row>
    <row r="485" spans="1:13" ht="25" x14ac:dyDescent="0.35">
      <c r="A485" s="42">
        <v>1319</v>
      </c>
      <c r="B485" s="42" t="s">
        <v>175</v>
      </c>
      <c r="C485" s="42" t="s">
        <v>199</v>
      </c>
      <c r="D485" s="42" t="s">
        <v>176</v>
      </c>
      <c r="E485" s="42" t="s">
        <v>160</v>
      </c>
      <c r="F485" s="42" t="s">
        <v>160</v>
      </c>
      <c r="G485" s="42" t="s">
        <v>141</v>
      </c>
      <c r="H485" s="42" t="s">
        <v>150</v>
      </c>
      <c r="I485" s="42"/>
      <c r="J485" s="45" t="s">
        <v>147</v>
      </c>
      <c r="K485" s="42" t="s">
        <v>78</v>
      </c>
      <c r="L485" s="42" t="s">
        <v>78</v>
      </c>
      <c r="M485" s="44" t="s">
        <v>767</v>
      </c>
    </row>
    <row r="486" spans="1:13" x14ac:dyDescent="0.35">
      <c r="A486" s="42">
        <v>1319</v>
      </c>
      <c r="B486" s="42" t="s">
        <v>175</v>
      </c>
      <c r="C486" s="42" t="s">
        <v>199</v>
      </c>
      <c r="D486" s="42" t="s">
        <v>176</v>
      </c>
      <c r="E486" s="42" t="s">
        <v>160</v>
      </c>
      <c r="F486" s="42" t="s">
        <v>160</v>
      </c>
      <c r="G486" s="42" t="s">
        <v>141</v>
      </c>
      <c r="H486" s="42" t="s">
        <v>150</v>
      </c>
      <c r="I486" s="42"/>
      <c r="J486" s="45" t="s">
        <v>147</v>
      </c>
      <c r="K486" s="42" t="s">
        <v>210</v>
      </c>
      <c r="L486" s="42" t="s">
        <v>210</v>
      </c>
      <c r="M486" s="44" t="s">
        <v>768</v>
      </c>
    </row>
    <row r="487" spans="1:13" x14ac:dyDescent="0.35">
      <c r="A487" s="42">
        <v>1319</v>
      </c>
      <c r="B487" s="42" t="s">
        <v>175</v>
      </c>
      <c r="C487" s="42" t="s">
        <v>199</v>
      </c>
      <c r="D487" s="42" t="s">
        <v>176</v>
      </c>
      <c r="E487" s="42" t="s">
        <v>160</v>
      </c>
      <c r="F487" s="42" t="s">
        <v>160</v>
      </c>
      <c r="G487" s="42" t="s">
        <v>141</v>
      </c>
      <c r="H487" s="42" t="s">
        <v>156</v>
      </c>
      <c r="I487" s="42"/>
      <c r="J487" s="43" t="s">
        <v>143</v>
      </c>
      <c r="K487" s="42" t="s">
        <v>484</v>
      </c>
      <c r="L487" s="42" t="s">
        <v>769</v>
      </c>
      <c r="M487" s="44" t="s">
        <v>770</v>
      </c>
    </row>
    <row r="488" spans="1:13" x14ac:dyDescent="0.35">
      <c r="A488" s="42">
        <v>1319</v>
      </c>
      <c r="B488" s="42" t="s">
        <v>175</v>
      </c>
      <c r="C488" s="42" t="s">
        <v>199</v>
      </c>
      <c r="D488" s="42" t="s">
        <v>176</v>
      </c>
      <c r="E488" s="42" t="s">
        <v>160</v>
      </c>
      <c r="F488" s="42" t="s">
        <v>160</v>
      </c>
      <c r="G488" s="42" t="s">
        <v>141</v>
      </c>
      <c r="H488" s="42" t="s">
        <v>156</v>
      </c>
      <c r="I488" s="42"/>
      <c r="J488" s="43" t="s">
        <v>143</v>
      </c>
      <c r="K488" s="42" t="s">
        <v>144</v>
      </c>
      <c r="L488" s="42" t="s">
        <v>250</v>
      </c>
      <c r="M488" s="44" t="s">
        <v>771</v>
      </c>
    </row>
    <row r="489" spans="1:13" ht="37.5" x14ac:dyDescent="0.35">
      <c r="A489" s="42">
        <v>1319</v>
      </c>
      <c r="B489" s="42" t="s">
        <v>175</v>
      </c>
      <c r="C489" s="42" t="s">
        <v>199</v>
      </c>
      <c r="D489" s="42" t="s">
        <v>176</v>
      </c>
      <c r="E489" s="42" t="s">
        <v>160</v>
      </c>
      <c r="F489" s="42" t="s">
        <v>160</v>
      </c>
      <c r="G489" s="42" t="s">
        <v>141</v>
      </c>
      <c r="H489" s="42" t="s">
        <v>156</v>
      </c>
      <c r="I489" s="42"/>
      <c r="J489" s="43" t="s">
        <v>143</v>
      </c>
      <c r="K489" s="42" t="s">
        <v>484</v>
      </c>
      <c r="L489" s="42" t="s">
        <v>772</v>
      </c>
      <c r="M489" s="44" t="s">
        <v>773</v>
      </c>
    </row>
    <row r="490" spans="1:13" ht="25" x14ac:dyDescent="0.35">
      <c r="A490" s="42">
        <v>1336</v>
      </c>
      <c r="B490" s="42" t="s">
        <v>175</v>
      </c>
      <c r="C490" s="42" t="s">
        <v>199</v>
      </c>
      <c r="D490" s="42" t="s">
        <v>176</v>
      </c>
      <c r="E490" s="42" t="s">
        <v>160</v>
      </c>
      <c r="F490" s="42" t="s">
        <v>160</v>
      </c>
      <c r="G490" s="42" t="s">
        <v>141</v>
      </c>
      <c r="H490" s="42" t="s">
        <v>177</v>
      </c>
      <c r="I490" s="42">
        <v>6</v>
      </c>
      <c r="J490" s="43" t="s">
        <v>143</v>
      </c>
      <c r="K490" s="42" t="s">
        <v>78</v>
      </c>
      <c r="L490" s="42" t="s">
        <v>335</v>
      </c>
      <c r="M490" s="44" t="s">
        <v>774</v>
      </c>
    </row>
    <row r="491" spans="1:13" ht="50" x14ac:dyDescent="0.35">
      <c r="A491" s="42">
        <v>1336</v>
      </c>
      <c r="B491" s="42" t="s">
        <v>175</v>
      </c>
      <c r="C491" s="42" t="s">
        <v>199</v>
      </c>
      <c r="D491" s="42" t="s">
        <v>176</v>
      </c>
      <c r="E491" s="42" t="s">
        <v>160</v>
      </c>
      <c r="F491" s="42" t="s">
        <v>160</v>
      </c>
      <c r="G491" s="42" t="s">
        <v>141</v>
      </c>
      <c r="H491" s="42" t="s">
        <v>146</v>
      </c>
      <c r="I491" s="42">
        <v>8</v>
      </c>
      <c r="J491" s="46" t="s">
        <v>222</v>
      </c>
      <c r="K491" s="42" t="s">
        <v>484</v>
      </c>
      <c r="L491" s="42" t="s">
        <v>775</v>
      </c>
      <c r="M491" s="44" t="s">
        <v>776</v>
      </c>
    </row>
    <row r="492" spans="1:13" ht="25" x14ac:dyDescent="0.35">
      <c r="A492" s="42">
        <v>1336</v>
      </c>
      <c r="B492" s="42" t="s">
        <v>175</v>
      </c>
      <c r="C492" s="42" t="s">
        <v>199</v>
      </c>
      <c r="D492" s="42" t="s">
        <v>176</v>
      </c>
      <c r="E492" s="42" t="s">
        <v>160</v>
      </c>
      <c r="F492" s="42" t="s">
        <v>160</v>
      </c>
      <c r="G492" s="42" t="s">
        <v>141</v>
      </c>
      <c r="H492" s="42" t="s">
        <v>150</v>
      </c>
      <c r="I492" s="42"/>
      <c r="J492" s="45" t="s">
        <v>147</v>
      </c>
      <c r="K492" s="42" t="s">
        <v>196</v>
      </c>
      <c r="L492" s="42" t="s">
        <v>614</v>
      </c>
      <c r="M492" s="44" t="s">
        <v>777</v>
      </c>
    </row>
    <row r="493" spans="1:13" x14ac:dyDescent="0.35">
      <c r="A493" s="42">
        <v>1336</v>
      </c>
      <c r="B493" s="42" t="s">
        <v>175</v>
      </c>
      <c r="C493" s="42" t="s">
        <v>199</v>
      </c>
      <c r="D493" s="42" t="s">
        <v>176</v>
      </c>
      <c r="E493" s="42" t="s">
        <v>160</v>
      </c>
      <c r="F493" s="42" t="s">
        <v>160</v>
      </c>
      <c r="G493" s="42" t="s">
        <v>141</v>
      </c>
      <c r="H493" s="42" t="s">
        <v>150</v>
      </c>
      <c r="I493" s="42"/>
      <c r="J493" s="45" t="s">
        <v>147</v>
      </c>
      <c r="K493" s="42" t="s">
        <v>193</v>
      </c>
      <c r="L493" s="42" t="s">
        <v>778</v>
      </c>
      <c r="M493" s="44" t="s">
        <v>779</v>
      </c>
    </row>
    <row r="494" spans="1:13" x14ac:dyDescent="0.35">
      <c r="A494" s="42">
        <v>1336</v>
      </c>
      <c r="B494" s="42" t="s">
        <v>175</v>
      </c>
      <c r="C494" s="42" t="s">
        <v>199</v>
      </c>
      <c r="D494" s="42" t="s">
        <v>176</v>
      </c>
      <c r="E494" s="42" t="s">
        <v>160</v>
      </c>
      <c r="F494" s="42" t="s">
        <v>160</v>
      </c>
      <c r="G494" s="42" t="s">
        <v>141</v>
      </c>
      <c r="H494" s="42" t="s">
        <v>150</v>
      </c>
      <c r="I494" s="42"/>
      <c r="J494" s="45" t="s">
        <v>147</v>
      </c>
      <c r="K494" s="42" t="s">
        <v>80</v>
      </c>
      <c r="L494" s="42" t="s">
        <v>80</v>
      </c>
      <c r="M494" s="44" t="s">
        <v>780</v>
      </c>
    </row>
    <row r="495" spans="1:13" x14ac:dyDescent="0.35">
      <c r="A495" s="42">
        <v>1336</v>
      </c>
      <c r="B495" s="42" t="s">
        <v>175</v>
      </c>
      <c r="C495" s="42" t="s">
        <v>199</v>
      </c>
      <c r="D495" s="42" t="s">
        <v>176</v>
      </c>
      <c r="E495" s="42" t="s">
        <v>160</v>
      </c>
      <c r="F495" s="42" t="s">
        <v>160</v>
      </c>
      <c r="G495" s="42" t="s">
        <v>141</v>
      </c>
      <c r="H495" s="42" t="s">
        <v>156</v>
      </c>
      <c r="I495" s="42"/>
      <c r="J495" s="43" t="s">
        <v>143</v>
      </c>
      <c r="K495" s="42" t="s">
        <v>78</v>
      </c>
      <c r="L495" s="42" t="s">
        <v>78</v>
      </c>
      <c r="M495" s="44" t="s">
        <v>781</v>
      </c>
    </row>
    <row r="496" spans="1:13" x14ac:dyDescent="0.35">
      <c r="A496" s="42">
        <v>1336</v>
      </c>
      <c r="B496" s="42" t="s">
        <v>175</v>
      </c>
      <c r="C496" s="42" t="s">
        <v>199</v>
      </c>
      <c r="D496" s="42" t="s">
        <v>176</v>
      </c>
      <c r="E496" s="42" t="s">
        <v>160</v>
      </c>
      <c r="F496" s="42" t="s">
        <v>160</v>
      </c>
      <c r="G496" s="42" t="s">
        <v>141</v>
      </c>
      <c r="H496" s="42" t="s">
        <v>156</v>
      </c>
      <c r="I496" s="42"/>
      <c r="J496" s="43" t="s">
        <v>143</v>
      </c>
      <c r="K496" s="42" t="s">
        <v>78</v>
      </c>
      <c r="L496" s="42" t="s">
        <v>78</v>
      </c>
      <c r="M496" s="44" t="s">
        <v>782</v>
      </c>
    </row>
    <row r="497" spans="1:13" x14ac:dyDescent="0.35">
      <c r="A497" s="42">
        <v>1336</v>
      </c>
      <c r="B497" s="42" t="s">
        <v>175</v>
      </c>
      <c r="C497" s="42" t="s">
        <v>199</v>
      </c>
      <c r="D497" s="42" t="s">
        <v>176</v>
      </c>
      <c r="E497" s="42" t="s">
        <v>160</v>
      </c>
      <c r="F497" s="42" t="s">
        <v>160</v>
      </c>
      <c r="G497" s="42" t="s">
        <v>141</v>
      </c>
      <c r="H497" s="42" t="s">
        <v>156</v>
      </c>
      <c r="I497" s="42"/>
      <c r="J497" s="43" t="s">
        <v>143</v>
      </c>
      <c r="K497" s="42" t="s">
        <v>268</v>
      </c>
      <c r="L497" s="42" t="s">
        <v>515</v>
      </c>
      <c r="M497" s="44" t="s">
        <v>783</v>
      </c>
    </row>
    <row r="498" spans="1:13" ht="37.5" x14ac:dyDescent="0.35">
      <c r="A498" s="42">
        <v>810</v>
      </c>
      <c r="B498" s="42" t="s">
        <v>175</v>
      </c>
      <c r="C498" s="42" t="s">
        <v>137</v>
      </c>
      <c r="D498" s="42" t="s">
        <v>159</v>
      </c>
      <c r="E498" s="42" t="s">
        <v>160</v>
      </c>
      <c r="F498" s="42" t="s">
        <v>160</v>
      </c>
      <c r="G498" s="42" t="s">
        <v>141</v>
      </c>
      <c r="H498" s="42" t="s">
        <v>146</v>
      </c>
      <c r="I498" s="42">
        <v>7</v>
      </c>
      <c r="J498" s="46" t="s">
        <v>222</v>
      </c>
      <c r="K498" s="42" t="s">
        <v>187</v>
      </c>
      <c r="L498" s="42" t="s">
        <v>784</v>
      </c>
      <c r="M498" s="44" t="s">
        <v>785</v>
      </c>
    </row>
    <row r="499" spans="1:13" x14ac:dyDescent="0.35">
      <c r="A499" s="42">
        <v>810</v>
      </c>
      <c r="B499" s="42" t="s">
        <v>175</v>
      </c>
      <c r="C499" s="42" t="s">
        <v>137</v>
      </c>
      <c r="D499" s="42" t="s">
        <v>159</v>
      </c>
      <c r="E499" s="42" t="s">
        <v>160</v>
      </c>
      <c r="F499" s="42" t="s">
        <v>160</v>
      </c>
      <c r="G499" s="42" t="s">
        <v>141</v>
      </c>
      <c r="H499" s="42" t="s">
        <v>156</v>
      </c>
      <c r="I499" s="42"/>
      <c r="J499" s="43" t="s">
        <v>143</v>
      </c>
      <c r="K499" s="42" t="s">
        <v>78</v>
      </c>
      <c r="L499" s="42" t="s">
        <v>78</v>
      </c>
      <c r="M499" s="44" t="s">
        <v>786</v>
      </c>
    </row>
    <row r="500" spans="1:13" x14ac:dyDescent="0.35">
      <c r="A500" s="42">
        <v>810</v>
      </c>
      <c r="B500" s="42" t="s">
        <v>175</v>
      </c>
      <c r="C500" s="42" t="s">
        <v>137</v>
      </c>
      <c r="D500" s="42" t="s">
        <v>159</v>
      </c>
      <c r="E500" s="42" t="s">
        <v>160</v>
      </c>
      <c r="F500" s="42" t="s">
        <v>160</v>
      </c>
      <c r="G500" s="42" t="s">
        <v>141</v>
      </c>
      <c r="H500" s="42" t="s">
        <v>156</v>
      </c>
      <c r="I500" s="42"/>
      <c r="J500" s="43" t="s">
        <v>143</v>
      </c>
      <c r="K500" s="42" t="s">
        <v>144</v>
      </c>
      <c r="L500" s="42" t="s">
        <v>144</v>
      </c>
      <c r="M500" s="44" t="s">
        <v>787</v>
      </c>
    </row>
    <row r="501" spans="1:13" x14ac:dyDescent="0.35">
      <c r="A501" s="42">
        <v>810</v>
      </c>
      <c r="B501" s="42" t="s">
        <v>175</v>
      </c>
      <c r="C501" s="42" t="s">
        <v>137</v>
      </c>
      <c r="D501" s="42" t="s">
        <v>159</v>
      </c>
      <c r="E501" s="42" t="s">
        <v>160</v>
      </c>
      <c r="F501" s="42" t="s">
        <v>160</v>
      </c>
      <c r="G501" s="42" t="s">
        <v>141</v>
      </c>
      <c r="H501" s="42" t="s">
        <v>156</v>
      </c>
      <c r="I501" s="42"/>
      <c r="J501" s="43" t="s">
        <v>143</v>
      </c>
      <c r="K501" s="42" t="s">
        <v>196</v>
      </c>
      <c r="L501" s="42" t="s">
        <v>196</v>
      </c>
      <c r="M501" s="44" t="s">
        <v>788</v>
      </c>
    </row>
    <row r="502" spans="1:13" ht="37.5" x14ac:dyDescent="0.35">
      <c r="A502" s="42">
        <v>851</v>
      </c>
      <c r="B502" s="42" t="s">
        <v>175</v>
      </c>
      <c r="C502" s="42" t="s">
        <v>199</v>
      </c>
      <c r="D502" s="42" t="s">
        <v>176</v>
      </c>
      <c r="E502" s="42" t="s">
        <v>160</v>
      </c>
      <c r="F502" s="42" t="s">
        <v>160</v>
      </c>
      <c r="G502" s="42" t="s">
        <v>141</v>
      </c>
      <c r="H502" s="42" t="s">
        <v>146</v>
      </c>
      <c r="I502" s="42">
        <v>7</v>
      </c>
      <c r="J502" s="46" t="s">
        <v>222</v>
      </c>
      <c r="K502" s="42" t="s">
        <v>144</v>
      </c>
      <c r="L502" s="42" t="s">
        <v>789</v>
      </c>
      <c r="M502" s="44" t="s">
        <v>790</v>
      </c>
    </row>
    <row r="503" spans="1:13" x14ac:dyDescent="0.35">
      <c r="A503" s="42">
        <v>851</v>
      </c>
      <c r="B503" s="42" t="s">
        <v>175</v>
      </c>
      <c r="C503" s="42" t="s">
        <v>199</v>
      </c>
      <c r="D503" s="42" t="s">
        <v>176</v>
      </c>
      <c r="E503" s="42" t="s">
        <v>160</v>
      </c>
      <c r="F503" s="42" t="s">
        <v>160</v>
      </c>
      <c r="G503" s="42" t="s">
        <v>141</v>
      </c>
      <c r="H503" s="42" t="s">
        <v>150</v>
      </c>
      <c r="I503" s="42"/>
      <c r="J503" s="45" t="s">
        <v>147</v>
      </c>
      <c r="K503" s="42" t="s">
        <v>144</v>
      </c>
      <c r="L503" s="42" t="s">
        <v>144</v>
      </c>
      <c r="M503" s="44" t="s">
        <v>791</v>
      </c>
    </row>
    <row r="504" spans="1:13" x14ac:dyDescent="0.35">
      <c r="A504" s="42">
        <v>851</v>
      </c>
      <c r="B504" s="42" t="s">
        <v>175</v>
      </c>
      <c r="C504" s="42" t="s">
        <v>199</v>
      </c>
      <c r="D504" s="42" t="s">
        <v>176</v>
      </c>
      <c r="E504" s="42" t="s">
        <v>160</v>
      </c>
      <c r="F504" s="42" t="s">
        <v>160</v>
      </c>
      <c r="G504" s="42" t="s">
        <v>141</v>
      </c>
      <c r="H504" s="42" t="s">
        <v>150</v>
      </c>
      <c r="I504" s="42"/>
      <c r="J504" s="45" t="s">
        <v>147</v>
      </c>
      <c r="K504" s="42" t="s">
        <v>144</v>
      </c>
      <c r="L504" s="42" t="s">
        <v>144</v>
      </c>
      <c r="M504" s="44" t="s">
        <v>792</v>
      </c>
    </row>
    <row r="505" spans="1:13" x14ac:dyDescent="0.35">
      <c r="A505" s="42">
        <v>851</v>
      </c>
      <c r="B505" s="42" t="s">
        <v>175</v>
      </c>
      <c r="C505" s="42" t="s">
        <v>199</v>
      </c>
      <c r="D505" s="42" t="s">
        <v>176</v>
      </c>
      <c r="E505" s="42" t="s">
        <v>160</v>
      </c>
      <c r="F505" s="42" t="s">
        <v>160</v>
      </c>
      <c r="G505" s="42" t="s">
        <v>141</v>
      </c>
      <c r="H505" s="42" t="s">
        <v>156</v>
      </c>
      <c r="I505" s="42"/>
      <c r="J505" s="43" t="s">
        <v>143</v>
      </c>
      <c r="K505" s="42" t="s">
        <v>190</v>
      </c>
      <c r="L505" s="42" t="s">
        <v>190</v>
      </c>
      <c r="M505" s="44" t="s">
        <v>793</v>
      </c>
    </row>
    <row r="506" spans="1:13" ht="37.5" x14ac:dyDescent="0.35">
      <c r="A506" s="42">
        <v>851</v>
      </c>
      <c r="B506" s="42" t="s">
        <v>175</v>
      </c>
      <c r="C506" s="42" t="s">
        <v>199</v>
      </c>
      <c r="D506" s="42" t="s">
        <v>176</v>
      </c>
      <c r="E506" s="42" t="s">
        <v>160</v>
      </c>
      <c r="F506" s="42" t="s">
        <v>160</v>
      </c>
      <c r="G506" s="42" t="s">
        <v>141</v>
      </c>
      <c r="H506" s="42" t="s">
        <v>156</v>
      </c>
      <c r="I506" s="42"/>
      <c r="J506" s="43" t="s">
        <v>143</v>
      </c>
      <c r="K506" s="42" t="s">
        <v>305</v>
      </c>
      <c r="L506" s="42" t="s">
        <v>794</v>
      </c>
      <c r="M506" s="44" t="s">
        <v>795</v>
      </c>
    </row>
    <row r="507" spans="1:13" x14ac:dyDescent="0.35">
      <c r="A507" s="42">
        <v>858</v>
      </c>
      <c r="B507" s="42" t="s">
        <v>136</v>
      </c>
      <c r="C507" s="42" t="s">
        <v>137</v>
      </c>
      <c r="D507" s="42" t="s">
        <v>176</v>
      </c>
      <c r="E507" s="42" t="s">
        <v>160</v>
      </c>
      <c r="F507" s="42" t="s">
        <v>160</v>
      </c>
      <c r="G507" s="42" t="s">
        <v>200</v>
      </c>
      <c r="H507" s="42" t="s">
        <v>163</v>
      </c>
      <c r="I507" s="42"/>
      <c r="J507" s="45" t="s">
        <v>147</v>
      </c>
      <c r="K507" s="42" t="s">
        <v>190</v>
      </c>
      <c r="L507" s="42" t="s">
        <v>190</v>
      </c>
      <c r="M507" s="44" t="s">
        <v>796</v>
      </c>
    </row>
    <row r="508" spans="1:13" x14ac:dyDescent="0.35">
      <c r="A508" s="42">
        <v>858</v>
      </c>
      <c r="B508" s="42" t="s">
        <v>136</v>
      </c>
      <c r="C508" s="42" t="s">
        <v>137</v>
      </c>
      <c r="D508" s="42" t="s">
        <v>176</v>
      </c>
      <c r="E508" s="42" t="s">
        <v>160</v>
      </c>
      <c r="F508" s="42" t="s">
        <v>160</v>
      </c>
      <c r="G508" s="42" t="s">
        <v>200</v>
      </c>
      <c r="H508" s="42" t="s">
        <v>180</v>
      </c>
      <c r="I508" s="42">
        <v>6</v>
      </c>
      <c r="J508" s="43" t="s">
        <v>143</v>
      </c>
      <c r="K508" s="42" t="s">
        <v>196</v>
      </c>
      <c r="L508" s="42" t="s">
        <v>196</v>
      </c>
      <c r="M508" s="44" t="s">
        <v>797</v>
      </c>
    </row>
    <row r="509" spans="1:13" x14ac:dyDescent="0.35">
      <c r="A509" s="42">
        <v>858</v>
      </c>
      <c r="B509" s="42" t="s">
        <v>136</v>
      </c>
      <c r="C509" s="42" t="s">
        <v>137</v>
      </c>
      <c r="D509" s="42" t="s">
        <v>176</v>
      </c>
      <c r="E509" s="42" t="s">
        <v>160</v>
      </c>
      <c r="F509" s="42" t="s">
        <v>160</v>
      </c>
      <c r="G509" s="42" t="s">
        <v>200</v>
      </c>
      <c r="H509" s="42" t="s">
        <v>146</v>
      </c>
      <c r="I509" s="42">
        <v>7</v>
      </c>
      <c r="J509" s="46" t="s">
        <v>222</v>
      </c>
      <c r="K509" s="42" t="s">
        <v>196</v>
      </c>
      <c r="L509" s="42" t="s">
        <v>217</v>
      </c>
      <c r="M509" s="44" t="s">
        <v>798</v>
      </c>
    </row>
    <row r="510" spans="1:13" x14ac:dyDescent="0.35">
      <c r="A510" s="42">
        <v>858</v>
      </c>
      <c r="B510" s="42" t="s">
        <v>136</v>
      </c>
      <c r="C510" s="42" t="s">
        <v>137</v>
      </c>
      <c r="D510" s="42" t="s">
        <v>176</v>
      </c>
      <c r="E510" s="42" t="s">
        <v>160</v>
      </c>
      <c r="F510" s="42" t="s">
        <v>160</v>
      </c>
      <c r="G510" s="42" t="s">
        <v>200</v>
      </c>
      <c r="H510" s="42" t="s">
        <v>150</v>
      </c>
      <c r="I510" s="42"/>
      <c r="J510" s="45" t="s">
        <v>147</v>
      </c>
      <c r="K510" s="42" t="s">
        <v>210</v>
      </c>
      <c r="L510" s="42" t="s">
        <v>210</v>
      </c>
      <c r="M510" s="44" t="s">
        <v>799</v>
      </c>
    </row>
    <row r="511" spans="1:13" x14ac:dyDescent="0.35">
      <c r="A511" s="42">
        <v>858</v>
      </c>
      <c r="B511" s="42" t="s">
        <v>136</v>
      </c>
      <c r="C511" s="42" t="s">
        <v>137</v>
      </c>
      <c r="D511" s="42" t="s">
        <v>176</v>
      </c>
      <c r="E511" s="42" t="s">
        <v>160</v>
      </c>
      <c r="F511" s="42" t="s">
        <v>160</v>
      </c>
      <c r="G511" s="42" t="s">
        <v>200</v>
      </c>
      <c r="H511" s="42" t="s">
        <v>156</v>
      </c>
      <c r="I511" s="42"/>
      <c r="J511" s="43" t="s">
        <v>143</v>
      </c>
      <c r="K511" s="42" t="s">
        <v>210</v>
      </c>
      <c r="L511" s="42" t="s">
        <v>210</v>
      </c>
      <c r="M511" s="44" t="s">
        <v>800</v>
      </c>
    </row>
    <row r="512" spans="1:13" x14ac:dyDescent="0.35">
      <c r="A512" s="42">
        <v>858</v>
      </c>
      <c r="B512" s="42" t="s">
        <v>136</v>
      </c>
      <c r="C512" s="42" t="s">
        <v>137</v>
      </c>
      <c r="D512" s="42" t="s">
        <v>176</v>
      </c>
      <c r="E512" s="42" t="s">
        <v>160</v>
      </c>
      <c r="F512" s="42" t="s">
        <v>160</v>
      </c>
      <c r="G512" s="42" t="s">
        <v>200</v>
      </c>
      <c r="H512" s="42" t="s">
        <v>156</v>
      </c>
      <c r="I512" s="42"/>
      <c r="J512" s="43" t="s">
        <v>143</v>
      </c>
      <c r="K512" s="42" t="s">
        <v>144</v>
      </c>
      <c r="L512" s="42" t="s">
        <v>144</v>
      </c>
      <c r="M512" s="44" t="s">
        <v>801</v>
      </c>
    </row>
    <row r="513" spans="1:13" x14ac:dyDescent="0.35">
      <c r="A513" s="42">
        <v>858</v>
      </c>
      <c r="B513" s="42" t="s">
        <v>136</v>
      </c>
      <c r="C513" s="42" t="s">
        <v>137</v>
      </c>
      <c r="D513" s="42" t="s">
        <v>176</v>
      </c>
      <c r="E513" s="42" t="s">
        <v>160</v>
      </c>
      <c r="F513" s="42" t="s">
        <v>160</v>
      </c>
      <c r="G513" s="42" t="s">
        <v>200</v>
      </c>
      <c r="H513" s="42" t="s">
        <v>156</v>
      </c>
      <c r="I513" s="42"/>
      <c r="J513" s="43" t="s">
        <v>143</v>
      </c>
      <c r="K513" s="42" t="s">
        <v>262</v>
      </c>
      <c r="L513" s="42" t="s">
        <v>263</v>
      </c>
      <c r="M513" s="44" t="s">
        <v>802</v>
      </c>
    </row>
    <row r="514" spans="1:13" ht="50" x14ac:dyDescent="0.35">
      <c r="A514" s="42">
        <v>1028</v>
      </c>
      <c r="B514" s="42" t="s">
        <v>136</v>
      </c>
      <c r="C514" s="42" t="s">
        <v>137</v>
      </c>
      <c r="D514" s="42" t="s">
        <v>159</v>
      </c>
      <c r="E514" s="42" t="s">
        <v>206</v>
      </c>
      <c r="F514" s="42" t="s">
        <v>206</v>
      </c>
      <c r="G514" s="42" t="s">
        <v>141</v>
      </c>
      <c r="H514" s="42" t="s">
        <v>146</v>
      </c>
      <c r="I514" s="42">
        <v>9</v>
      </c>
      <c r="J514" s="45" t="s">
        <v>147</v>
      </c>
      <c r="K514" s="42" t="s">
        <v>50</v>
      </c>
      <c r="L514" s="42" t="s">
        <v>803</v>
      </c>
      <c r="M514" s="44" t="s">
        <v>804</v>
      </c>
    </row>
    <row r="515" spans="1:13" x14ac:dyDescent="0.35">
      <c r="A515" s="42">
        <v>1028</v>
      </c>
      <c r="B515" s="42" t="s">
        <v>136</v>
      </c>
      <c r="C515" s="42" t="s">
        <v>137</v>
      </c>
      <c r="D515" s="42" t="s">
        <v>159</v>
      </c>
      <c r="E515" s="42" t="s">
        <v>206</v>
      </c>
      <c r="F515" s="42" t="s">
        <v>206</v>
      </c>
      <c r="G515" s="42" t="s">
        <v>141</v>
      </c>
      <c r="H515" s="42" t="s">
        <v>150</v>
      </c>
      <c r="I515" s="42"/>
      <c r="J515" s="45" t="s">
        <v>147</v>
      </c>
      <c r="K515" s="42" t="s">
        <v>187</v>
      </c>
      <c r="L515" s="42" t="s">
        <v>364</v>
      </c>
      <c r="M515" s="44" t="s">
        <v>805</v>
      </c>
    </row>
    <row r="516" spans="1:13" x14ac:dyDescent="0.35">
      <c r="A516" s="42">
        <v>1028</v>
      </c>
      <c r="B516" s="42" t="s">
        <v>136</v>
      </c>
      <c r="C516" s="42" t="s">
        <v>137</v>
      </c>
      <c r="D516" s="42" t="s">
        <v>159</v>
      </c>
      <c r="E516" s="42" t="s">
        <v>206</v>
      </c>
      <c r="F516" s="42" t="s">
        <v>206</v>
      </c>
      <c r="G516" s="42" t="s">
        <v>141</v>
      </c>
      <c r="H516" s="42" t="s">
        <v>150</v>
      </c>
      <c r="I516" s="42"/>
      <c r="J516" s="45" t="s">
        <v>147</v>
      </c>
      <c r="K516" s="42" t="s">
        <v>78</v>
      </c>
      <c r="L516" s="42" t="s">
        <v>78</v>
      </c>
      <c r="M516" s="44" t="s">
        <v>806</v>
      </c>
    </row>
    <row r="517" spans="1:13" x14ac:dyDescent="0.35">
      <c r="A517" s="42">
        <v>1028</v>
      </c>
      <c r="B517" s="42" t="s">
        <v>136</v>
      </c>
      <c r="C517" s="42" t="s">
        <v>137</v>
      </c>
      <c r="D517" s="42" t="s">
        <v>159</v>
      </c>
      <c r="E517" s="42" t="s">
        <v>206</v>
      </c>
      <c r="F517" s="42" t="s">
        <v>206</v>
      </c>
      <c r="G517" s="42" t="s">
        <v>141</v>
      </c>
      <c r="H517" s="42" t="s">
        <v>156</v>
      </c>
      <c r="I517" s="42"/>
      <c r="J517" s="43" t="s">
        <v>143</v>
      </c>
      <c r="K517" s="42" t="s">
        <v>181</v>
      </c>
      <c r="L517" s="42" t="s">
        <v>181</v>
      </c>
      <c r="M517" s="44" t="s">
        <v>807</v>
      </c>
    </row>
    <row r="518" spans="1:13" x14ac:dyDescent="0.35">
      <c r="A518" s="42">
        <v>1028</v>
      </c>
      <c r="B518" s="42" t="s">
        <v>136</v>
      </c>
      <c r="C518" s="42" t="s">
        <v>137</v>
      </c>
      <c r="D518" s="42" t="s">
        <v>159</v>
      </c>
      <c r="E518" s="42" t="s">
        <v>206</v>
      </c>
      <c r="F518" s="42" t="s">
        <v>206</v>
      </c>
      <c r="G518" s="42" t="s">
        <v>141</v>
      </c>
      <c r="H518" s="42" t="s">
        <v>156</v>
      </c>
      <c r="I518" s="42"/>
      <c r="J518" s="43" t="s">
        <v>143</v>
      </c>
      <c r="K518" s="42" t="s">
        <v>196</v>
      </c>
      <c r="L518" s="42" t="s">
        <v>196</v>
      </c>
      <c r="M518" s="44" t="s">
        <v>808</v>
      </c>
    </row>
    <row r="519" spans="1:13" x14ac:dyDescent="0.35">
      <c r="A519" s="42">
        <v>1028</v>
      </c>
      <c r="B519" s="42" t="s">
        <v>136</v>
      </c>
      <c r="C519" s="42" t="s">
        <v>137</v>
      </c>
      <c r="D519" s="42" t="s">
        <v>159</v>
      </c>
      <c r="E519" s="42" t="s">
        <v>206</v>
      </c>
      <c r="F519" s="42" t="s">
        <v>206</v>
      </c>
      <c r="G519" s="42" t="s">
        <v>141</v>
      </c>
      <c r="H519" s="42" t="s">
        <v>156</v>
      </c>
      <c r="I519" s="42"/>
      <c r="J519" s="43" t="s">
        <v>143</v>
      </c>
      <c r="K519" s="42" t="s">
        <v>196</v>
      </c>
      <c r="L519" s="42" t="s">
        <v>196</v>
      </c>
      <c r="M519" s="44" t="s">
        <v>809</v>
      </c>
    </row>
    <row r="520" spans="1:13" x14ac:dyDescent="0.35">
      <c r="A520" s="42">
        <v>885</v>
      </c>
      <c r="B520" s="42" t="s">
        <v>175</v>
      </c>
      <c r="C520" s="42" t="s">
        <v>137</v>
      </c>
      <c r="D520" s="42" t="s">
        <v>176</v>
      </c>
      <c r="E520" s="42" t="s">
        <v>160</v>
      </c>
      <c r="F520" s="42" t="s">
        <v>160</v>
      </c>
      <c r="G520" s="42" t="s">
        <v>141</v>
      </c>
      <c r="H520" s="42" t="s">
        <v>142</v>
      </c>
      <c r="I520" s="42">
        <v>6</v>
      </c>
      <c r="J520" s="43" t="s">
        <v>143</v>
      </c>
      <c r="K520" s="42" t="s">
        <v>144</v>
      </c>
      <c r="L520" s="42" t="s">
        <v>294</v>
      </c>
      <c r="M520" s="44" t="s">
        <v>810</v>
      </c>
    </row>
    <row r="521" spans="1:13" x14ac:dyDescent="0.35">
      <c r="A521" s="42">
        <v>885</v>
      </c>
      <c r="B521" s="42" t="s">
        <v>175</v>
      </c>
      <c r="C521" s="42" t="s">
        <v>137</v>
      </c>
      <c r="D521" s="42" t="s">
        <v>176</v>
      </c>
      <c r="E521" s="42" t="s">
        <v>160</v>
      </c>
      <c r="F521" s="42" t="s">
        <v>160</v>
      </c>
      <c r="G521" s="42" t="s">
        <v>141</v>
      </c>
      <c r="H521" s="42" t="s">
        <v>183</v>
      </c>
      <c r="I521" s="42">
        <v>5</v>
      </c>
      <c r="J521" s="43" t="s">
        <v>143</v>
      </c>
      <c r="K521" s="42" t="s">
        <v>144</v>
      </c>
      <c r="L521" s="42" t="s">
        <v>294</v>
      </c>
      <c r="M521" s="44" t="s">
        <v>811</v>
      </c>
    </row>
    <row r="522" spans="1:13" x14ac:dyDescent="0.35">
      <c r="A522" s="42">
        <v>885</v>
      </c>
      <c r="B522" s="42" t="s">
        <v>175</v>
      </c>
      <c r="C522" s="42" t="s">
        <v>137</v>
      </c>
      <c r="D522" s="42" t="s">
        <v>176</v>
      </c>
      <c r="E522" s="42" t="s">
        <v>160</v>
      </c>
      <c r="F522" s="42" t="s">
        <v>160</v>
      </c>
      <c r="G522" s="42" t="s">
        <v>141</v>
      </c>
      <c r="H522" s="42" t="s">
        <v>146</v>
      </c>
      <c r="I522" s="42">
        <v>7</v>
      </c>
      <c r="J522" s="46" t="s">
        <v>222</v>
      </c>
      <c r="K522" s="42" t="s">
        <v>76</v>
      </c>
      <c r="L522" s="42" t="s">
        <v>705</v>
      </c>
      <c r="M522" s="44" t="s">
        <v>812</v>
      </c>
    </row>
    <row r="523" spans="1:13" x14ac:dyDescent="0.35">
      <c r="A523" s="42">
        <v>885</v>
      </c>
      <c r="B523" s="42" t="s">
        <v>175</v>
      </c>
      <c r="C523" s="42" t="s">
        <v>137</v>
      </c>
      <c r="D523" s="42" t="s">
        <v>176</v>
      </c>
      <c r="E523" s="42" t="s">
        <v>160</v>
      </c>
      <c r="F523" s="42" t="s">
        <v>160</v>
      </c>
      <c r="G523" s="42" t="s">
        <v>141</v>
      </c>
      <c r="H523" s="42" t="s">
        <v>150</v>
      </c>
      <c r="I523" s="42"/>
      <c r="J523" s="45" t="s">
        <v>147</v>
      </c>
      <c r="K523" s="42" t="s">
        <v>181</v>
      </c>
      <c r="L523" s="42" t="s">
        <v>397</v>
      </c>
      <c r="M523" s="44" t="s">
        <v>813</v>
      </c>
    </row>
    <row r="524" spans="1:13" x14ac:dyDescent="0.35">
      <c r="A524" s="42">
        <v>885</v>
      </c>
      <c r="B524" s="42" t="s">
        <v>175</v>
      </c>
      <c r="C524" s="42" t="s">
        <v>137</v>
      </c>
      <c r="D524" s="42" t="s">
        <v>176</v>
      </c>
      <c r="E524" s="42" t="s">
        <v>160</v>
      </c>
      <c r="F524" s="42" t="s">
        <v>160</v>
      </c>
      <c r="G524" s="42" t="s">
        <v>141</v>
      </c>
      <c r="H524" s="42" t="s">
        <v>156</v>
      </c>
      <c r="I524" s="42"/>
      <c r="J524" s="43" t="s">
        <v>143</v>
      </c>
      <c r="K524" s="42" t="s">
        <v>193</v>
      </c>
      <c r="L524" s="42" t="s">
        <v>194</v>
      </c>
      <c r="M524" s="44" t="s">
        <v>814</v>
      </c>
    </row>
    <row r="525" spans="1:13" ht="25" x14ac:dyDescent="0.35">
      <c r="A525" s="42">
        <v>1032</v>
      </c>
      <c r="B525" s="42" t="s">
        <v>136</v>
      </c>
      <c r="C525" s="42" t="s">
        <v>137</v>
      </c>
      <c r="D525" s="42" t="s">
        <v>219</v>
      </c>
      <c r="E525" s="42" t="s">
        <v>139</v>
      </c>
      <c r="F525" s="42" t="s">
        <v>140</v>
      </c>
      <c r="G525" s="42" t="s">
        <v>141</v>
      </c>
      <c r="H525" s="42" t="s">
        <v>146</v>
      </c>
      <c r="I525" s="42">
        <v>10</v>
      </c>
      <c r="J525" s="45" t="s">
        <v>147</v>
      </c>
      <c r="K525" s="42" t="s">
        <v>305</v>
      </c>
      <c r="L525" s="42" t="s">
        <v>305</v>
      </c>
      <c r="M525" s="44" t="s">
        <v>815</v>
      </c>
    </row>
    <row r="526" spans="1:13" x14ac:dyDescent="0.35">
      <c r="A526" s="42">
        <v>1032</v>
      </c>
      <c r="B526" s="42" t="s">
        <v>136</v>
      </c>
      <c r="C526" s="42" t="s">
        <v>137</v>
      </c>
      <c r="D526" s="42" t="s">
        <v>219</v>
      </c>
      <c r="E526" s="42" t="s">
        <v>139</v>
      </c>
      <c r="F526" s="42" t="s">
        <v>140</v>
      </c>
      <c r="G526" s="42" t="s">
        <v>141</v>
      </c>
      <c r="H526" s="42" t="s">
        <v>150</v>
      </c>
      <c r="I526" s="42"/>
      <c r="J526" s="45" t="s">
        <v>147</v>
      </c>
      <c r="K526" s="42" t="s">
        <v>144</v>
      </c>
      <c r="L526" s="42" t="s">
        <v>144</v>
      </c>
      <c r="M526" s="44" t="s">
        <v>816</v>
      </c>
    </row>
    <row r="527" spans="1:13" x14ac:dyDescent="0.35">
      <c r="A527" s="42">
        <v>1032</v>
      </c>
      <c r="B527" s="42" t="s">
        <v>136</v>
      </c>
      <c r="C527" s="42" t="s">
        <v>137</v>
      </c>
      <c r="D527" s="42" t="s">
        <v>219</v>
      </c>
      <c r="E527" s="42" t="s">
        <v>139</v>
      </c>
      <c r="F527" s="42" t="s">
        <v>140</v>
      </c>
      <c r="G527" s="42" t="s">
        <v>141</v>
      </c>
      <c r="H527" s="42" t="s">
        <v>150</v>
      </c>
      <c r="I527" s="42"/>
      <c r="J527" s="45" t="s">
        <v>147</v>
      </c>
      <c r="K527" s="42" t="s">
        <v>190</v>
      </c>
      <c r="L527" s="42" t="s">
        <v>190</v>
      </c>
      <c r="M527" s="44" t="s">
        <v>817</v>
      </c>
    </row>
    <row r="528" spans="1:13" x14ac:dyDescent="0.35">
      <c r="A528" s="42">
        <v>1032</v>
      </c>
      <c r="B528" s="42" t="s">
        <v>136</v>
      </c>
      <c r="C528" s="42" t="s">
        <v>137</v>
      </c>
      <c r="D528" s="42" t="s">
        <v>219</v>
      </c>
      <c r="E528" s="42" t="s">
        <v>139</v>
      </c>
      <c r="F528" s="42" t="s">
        <v>140</v>
      </c>
      <c r="G528" s="42" t="s">
        <v>141</v>
      </c>
      <c r="H528" s="42" t="s">
        <v>150</v>
      </c>
      <c r="I528" s="42"/>
      <c r="J528" s="45" t="s">
        <v>147</v>
      </c>
      <c r="K528" s="42" t="s">
        <v>190</v>
      </c>
      <c r="L528" s="42" t="s">
        <v>190</v>
      </c>
      <c r="M528" s="44" t="s">
        <v>818</v>
      </c>
    </row>
    <row r="529" spans="1:13" x14ac:dyDescent="0.35">
      <c r="A529" s="42">
        <v>1032</v>
      </c>
      <c r="B529" s="42" t="s">
        <v>136</v>
      </c>
      <c r="C529" s="42" t="s">
        <v>137</v>
      </c>
      <c r="D529" s="42" t="s">
        <v>219</v>
      </c>
      <c r="E529" s="42" t="s">
        <v>139</v>
      </c>
      <c r="F529" s="42" t="s">
        <v>140</v>
      </c>
      <c r="G529" s="42" t="s">
        <v>141</v>
      </c>
      <c r="H529" s="42" t="s">
        <v>156</v>
      </c>
      <c r="I529" s="42"/>
      <c r="J529" s="43" t="s">
        <v>143</v>
      </c>
      <c r="K529" s="42" t="s">
        <v>78</v>
      </c>
      <c r="L529" s="42" t="s">
        <v>335</v>
      </c>
      <c r="M529" s="44" t="s">
        <v>819</v>
      </c>
    </row>
    <row r="530" spans="1:13" x14ac:dyDescent="0.35">
      <c r="A530" s="42">
        <v>1032</v>
      </c>
      <c r="B530" s="42" t="s">
        <v>136</v>
      </c>
      <c r="C530" s="42" t="s">
        <v>137</v>
      </c>
      <c r="D530" s="42" t="s">
        <v>219</v>
      </c>
      <c r="E530" s="42" t="s">
        <v>139</v>
      </c>
      <c r="F530" s="42" t="s">
        <v>140</v>
      </c>
      <c r="G530" s="42" t="s">
        <v>141</v>
      </c>
      <c r="H530" s="42" t="s">
        <v>156</v>
      </c>
      <c r="I530" s="42"/>
      <c r="J530" s="43" t="s">
        <v>143</v>
      </c>
      <c r="K530" s="42" t="s">
        <v>187</v>
      </c>
      <c r="L530" s="42" t="s">
        <v>820</v>
      </c>
      <c r="M530" s="44" t="s">
        <v>821</v>
      </c>
    </row>
    <row r="531" spans="1:13" ht="25" x14ac:dyDescent="0.35">
      <c r="A531" s="42">
        <v>1033</v>
      </c>
      <c r="B531" s="42" t="s">
        <v>136</v>
      </c>
      <c r="C531" s="42" t="s">
        <v>199</v>
      </c>
      <c r="D531" s="42" t="s">
        <v>138</v>
      </c>
      <c r="E531" s="42" t="s">
        <v>139</v>
      </c>
      <c r="F531" s="42" t="s">
        <v>140</v>
      </c>
      <c r="G531" s="42" t="s">
        <v>141</v>
      </c>
      <c r="H531" s="42" t="s">
        <v>183</v>
      </c>
      <c r="I531" s="42">
        <v>5</v>
      </c>
      <c r="J531" s="43" t="s">
        <v>143</v>
      </c>
      <c r="K531" s="42" t="s">
        <v>144</v>
      </c>
      <c r="L531" s="42" t="s">
        <v>144</v>
      </c>
      <c r="M531" s="44" t="s">
        <v>822</v>
      </c>
    </row>
    <row r="532" spans="1:13" x14ac:dyDescent="0.35">
      <c r="A532" s="42">
        <v>1033</v>
      </c>
      <c r="B532" s="42" t="s">
        <v>136</v>
      </c>
      <c r="C532" s="42" t="s">
        <v>199</v>
      </c>
      <c r="D532" s="42" t="s">
        <v>138</v>
      </c>
      <c r="E532" s="42" t="s">
        <v>139</v>
      </c>
      <c r="F532" s="42" t="s">
        <v>140</v>
      </c>
      <c r="G532" s="42" t="s">
        <v>141</v>
      </c>
      <c r="H532" s="42" t="s">
        <v>146</v>
      </c>
      <c r="I532" s="42">
        <v>1</v>
      </c>
      <c r="J532" s="43" t="s">
        <v>143</v>
      </c>
      <c r="K532" s="42" t="s">
        <v>196</v>
      </c>
      <c r="L532" s="42" t="s">
        <v>517</v>
      </c>
      <c r="M532" s="44" t="s">
        <v>823</v>
      </c>
    </row>
    <row r="533" spans="1:13" x14ac:dyDescent="0.35">
      <c r="A533" s="42">
        <v>1033</v>
      </c>
      <c r="B533" s="42" t="s">
        <v>136</v>
      </c>
      <c r="C533" s="42" t="s">
        <v>199</v>
      </c>
      <c r="D533" s="42" t="s">
        <v>138</v>
      </c>
      <c r="E533" s="42" t="s">
        <v>139</v>
      </c>
      <c r="F533" s="42" t="s">
        <v>140</v>
      </c>
      <c r="G533" s="42" t="s">
        <v>141</v>
      </c>
      <c r="H533" s="42" t="s">
        <v>156</v>
      </c>
      <c r="I533" s="42"/>
      <c r="J533" s="43" t="s">
        <v>143</v>
      </c>
      <c r="K533" s="42" t="s">
        <v>196</v>
      </c>
      <c r="L533" s="42" t="s">
        <v>196</v>
      </c>
      <c r="M533" s="44" t="s">
        <v>824</v>
      </c>
    </row>
    <row r="534" spans="1:13" x14ac:dyDescent="0.35">
      <c r="A534" s="42">
        <v>1033</v>
      </c>
      <c r="B534" s="42" t="s">
        <v>136</v>
      </c>
      <c r="C534" s="42" t="s">
        <v>199</v>
      </c>
      <c r="D534" s="42" t="s">
        <v>138</v>
      </c>
      <c r="E534" s="42" t="s">
        <v>139</v>
      </c>
      <c r="F534" s="42" t="s">
        <v>140</v>
      </c>
      <c r="G534" s="42" t="s">
        <v>141</v>
      </c>
      <c r="H534" s="42" t="s">
        <v>156</v>
      </c>
      <c r="I534" s="42"/>
      <c r="J534" s="43" t="s">
        <v>143</v>
      </c>
      <c r="K534" s="42" t="s">
        <v>181</v>
      </c>
      <c r="L534" s="42" t="s">
        <v>397</v>
      </c>
      <c r="M534" s="44" t="s">
        <v>825</v>
      </c>
    </row>
    <row r="535" spans="1:13" x14ac:dyDescent="0.35">
      <c r="A535" s="42">
        <v>1033</v>
      </c>
      <c r="B535" s="42" t="s">
        <v>136</v>
      </c>
      <c r="C535" s="42" t="s">
        <v>199</v>
      </c>
      <c r="D535" s="42" t="s">
        <v>138</v>
      </c>
      <c r="E535" s="42" t="s">
        <v>139</v>
      </c>
      <c r="F535" s="42" t="s">
        <v>140</v>
      </c>
      <c r="G535" s="42" t="s">
        <v>141</v>
      </c>
      <c r="H535" s="42" t="s">
        <v>156</v>
      </c>
      <c r="I535" s="42"/>
      <c r="J535" s="43" t="s">
        <v>143</v>
      </c>
      <c r="K535" s="42" t="s">
        <v>210</v>
      </c>
      <c r="L535" s="42" t="s">
        <v>210</v>
      </c>
      <c r="M535" s="44" t="s">
        <v>826</v>
      </c>
    </row>
    <row r="536" spans="1:13" x14ac:dyDescent="0.35">
      <c r="A536" s="42">
        <v>1036</v>
      </c>
      <c r="B536" s="42" t="s">
        <v>136</v>
      </c>
      <c r="C536" s="42" t="s">
        <v>137</v>
      </c>
      <c r="D536" s="42" t="s">
        <v>138</v>
      </c>
      <c r="E536" s="42" t="s">
        <v>274</v>
      </c>
      <c r="F536" s="42" t="s">
        <v>140</v>
      </c>
      <c r="G536" s="42" t="s">
        <v>141</v>
      </c>
      <c r="H536" s="42" t="s">
        <v>163</v>
      </c>
      <c r="I536" s="42"/>
      <c r="J536" s="45" t="s">
        <v>147</v>
      </c>
      <c r="K536" s="42" t="s">
        <v>50</v>
      </c>
      <c r="L536" s="42" t="s">
        <v>827</v>
      </c>
      <c r="M536" s="44" t="s">
        <v>828</v>
      </c>
    </row>
    <row r="537" spans="1:13" ht="25" x14ac:dyDescent="0.35">
      <c r="A537" s="42">
        <v>1036</v>
      </c>
      <c r="B537" s="42" t="s">
        <v>136</v>
      </c>
      <c r="C537" s="42" t="s">
        <v>137</v>
      </c>
      <c r="D537" s="42" t="s">
        <v>138</v>
      </c>
      <c r="E537" s="42" t="s">
        <v>274</v>
      </c>
      <c r="F537" s="42" t="s">
        <v>140</v>
      </c>
      <c r="G537" s="42" t="s">
        <v>141</v>
      </c>
      <c r="H537" s="42" t="s">
        <v>146</v>
      </c>
      <c r="I537" s="42">
        <v>4</v>
      </c>
      <c r="J537" s="43" t="s">
        <v>143</v>
      </c>
      <c r="K537" s="42" t="s">
        <v>196</v>
      </c>
      <c r="L537" s="42" t="s">
        <v>614</v>
      </c>
      <c r="M537" s="44" t="s">
        <v>829</v>
      </c>
    </row>
    <row r="538" spans="1:13" x14ac:dyDescent="0.35">
      <c r="A538" s="42">
        <v>1036</v>
      </c>
      <c r="B538" s="42" t="s">
        <v>136</v>
      </c>
      <c r="C538" s="42" t="s">
        <v>137</v>
      </c>
      <c r="D538" s="42" t="s">
        <v>138</v>
      </c>
      <c r="E538" s="42" t="s">
        <v>274</v>
      </c>
      <c r="F538" s="42" t="s">
        <v>140</v>
      </c>
      <c r="G538" s="42" t="s">
        <v>141</v>
      </c>
      <c r="H538" s="42" t="s">
        <v>150</v>
      </c>
      <c r="I538" s="42"/>
      <c r="J538" s="45" t="s">
        <v>147</v>
      </c>
      <c r="K538" s="42" t="s">
        <v>144</v>
      </c>
      <c r="L538" s="42" t="s">
        <v>144</v>
      </c>
      <c r="M538" s="44" t="s">
        <v>273</v>
      </c>
    </row>
    <row r="539" spans="1:13" x14ac:dyDescent="0.35">
      <c r="A539" s="42">
        <v>1036</v>
      </c>
      <c r="B539" s="42" t="s">
        <v>136</v>
      </c>
      <c r="C539" s="42" t="s">
        <v>137</v>
      </c>
      <c r="D539" s="42" t="s">
        <v>138</v>
      </c>
      <c r="E539" s="42" t="s">
        <v>274</v>
      </c>
      <c r="F539" s="42" t="s">
        <v>140</v>
      </c>
      <c r="G539" s="42" t="s">
        <v>141</v>
      </c>
      <c r="H539" s="42" t="s">
        <v>150</v>
      </c>
      <c r="I539" s="42"/>
      <c r="J539" s="45" t="s">
        <v>147</v>
      </c>
      <c r="K539" s="42" t="s">
        <v>184</v>
      </c>
      <c r="L539" s="42" t="s">
        <v>184</v>
      </c>
      <c r="M539" s="44" t="s">
        <v>830</v>
      </c>
    </row>
    <row r="540" spans="1:13" x14ac:dyDescent="0.35">
      <c r="A540" s="42">
        <v>1036</v>
      </c>
      <c r="B540" s="42" t="s">
        <v>136</v>
      </c>
      <c r="C540" s="42" t="s">
        <v>137</v>
      </c>
      <c r="D540" s="42" t="s">
        <v>138</v>
      </c>
      <c r="E540" s="42" t="s">
        <v>274</v>
      </c>
      <c r="F540" s="42" t="s">
        <v>140</v>
      </c>
      <c r="G540" s="42" t="s">
        <v>141</v>
      </c>
      <c r="H540" s="42" t="s">
        <v>150</v>
      </c>
      <c r="I540" s="42"/>
      <c r="J540" s="45" t="s">
        <v>147</v>
      </c>
      <c r="K540" s="42" t="s">
        <v>181</v>
      </c>
      <c r="L540" s="42" t="s">
        <v>181</v>
      </c>
      <c r="M540" s="44" t="s">
        <v>300</v>
      </c>
    </row>
    <row r="541" spans="1:13" x14ac:dyDescent="0.35">
      <c r="A541" s="42">
        <v>1036</v>
      </c>
      <c r="B541" s="42" t="s">
        <v>136</v>
      </c>
      <c r="C541" s="42" t="s">
        <v>137</v>
      </c>
      <c r="D541" s="42" t="s">
        <v>138</v>
      </c>
      <c r="E541" s="42" t="s">
        <v>274</v>
      </c>
      <c r="F541" s="42" t="s">
        <v>140</v>
      </c>
      <c r="G541" s="42" t="s">
        <v>141</v>
      </c>
      <c r="H541" s="42" t="s">
        <v>156</v>
      </c>
      <c r="I541" s="42"/>
      <c r="J541" s="43" t="s">
        <v>143</v>
      </c>
      <c r="K541" s="42" t="s">
        <v>196</v>
      </c>
      <c r="L541" s="42" t="s">
        <v>196</v>
      </c>
      <c r="M541" s="44" t="s">
        <v>831</v>
      </c>
    </row>
    <row r="542" spans="1:13" x14ac:dyDescent="0.35">
      <c r="A542" s="42">
        <v>1036</v>
      </c>
      <c r="B542" s="42" t="s">
        <v>136</v>
      </c>
      <c r="C542" s="42" t="s">
        <v>137</v>
      </c>
      <c r="D542" s="42" t="s">
        <v>138</v>
      </c>
      <c r="E542" s="42" t="s">
        <v>274</v>
      </c>
      <c r="F542" s="42" t="s">
        <v>140</v>
      </c>
      <c r="G542" s="42" t="s">
        <v>141</v>
      </c>
      <c r="H542" s="42" t="s">
        <v>156</v>
      </c>
      <c r="I542" s="42"/>
      <c r="J542" s="43" t="s">
        <v>143</v>
      </c>
      <c r="K542" s="42" t="s">
        <v>196</v>
      </c>
      <c r="L542" s="42" t="s">
        <v>196</v>
      </c>
      <c r="M542" s="44" t="s">
        <v>832</v>
      </c>
    </row>
    <row r="543" spans="1:13" x14ac:dyDescent="0.35">
      <c r="A543" s="42">
        <v>1036</v>
      </c>
      <c r="B543" s="42" t="s">
        <v>136</v>
      </c>
      <c r="C543" s="42" t="s">
        <v>137</v>
      </c>
      <c r="D543" s="42" t="s">
        <v>138</v>
      </c>
      <c r="E543" s="42" t="s">
        <v>274</v>
      </c>
      <c r="F543" s="42" t="s">
        <v>140</v>
      </c>
      <c r="G543" s="42" t="s">
        <v>141</v>
      </c>
      <c r="H543" s="42" t="s">
        <v>156</v>
      </c>
      <c r="I543" s="42"/>
      <c r="J543" s="43" t="s">
        <v>143</v>
      </c>
      <c r="K543" s="42" t="s">
        <v>196</v>
      </c>
      <c r="L543" s="42" t="s">
        <v>196</v>
      </c>
      <c r="M543" s="44" t="s">
        <v>833</v>
      </c>
    </row>
    <row r="544" spans="1:13" ht="25" x14ac:dyDescent="0.35">
      <c r="A544" s="42">
        <v>1037</v>
      </c>
      <c r="B544" s="42" t="s">
        <v>136</v>
      </c>
      <c r="C544" s="42" t="s">
        <v>137</v>
      </c>
      <c r="D544" s="42" t="s">
        <v>159</v>
      </c>
      <c r="E544" s="42" t="s">
        <v>274</v>
      </c>
      <c r="F544" s="42" t="s">
        <v>140</v>
      </c>
      <c r="G544" s="42" t="s">
        <v>141</v>
      </c>
      <c r="H544" s="42" t="s">
        <v>142</v>
      </c>
      <c r="I544" s="42">
        <v>3</v>
      </c>
      <c r="J544" s="43" t="s">
        <v>143</v>
      </c>
      <c r="K544" s="42" t="s">
        <v>144</v>
      </c>
      <c r="L544" s="42" t="s">
        <v>144</v>
      </c>
      <c r="M544" s="44" t="s">
        <v>834</v>
      </c>
    </row>
    <row r="545" spans="1:13" x14ac:dyDescent="0.35">
      <c r="A545" s="42">
        <v>1037</v>
      </c>
      <c r="B545" s="42" t="s">
        <v>136</v>
      </c>
      <c r="C545" s="42" t="s">
        <v>137</v>
      </c>
      <c r="D545" s="42" t="s">
        <v>159</v>
      </c>
      <c r="E545" s="42" t="s">
        <v>274</v>
      </c>
      <c r="F545" s="42" t="s">
        <v>140</v>
      </c>
      <c r="G545" s="42" t="s">
        <v>141</v>
      </c>
      <c r="H545" s="42" t="s">
        <v>163</v>
      </c>
      <c r="I545" s="42"/>
      <c r="J545" s="43" t="s">
        <v>143</v>
      </c>
      <c r="K545" s="42" t="s">
        <v>144</v>
      </c>
      <c r="L545" s="42" t="s">
        <v>548</v>
      </c>
      <c r="M545" s="44" t="s">
        <v>835</v>
      </c>
    </row>
    <row r="546" spans="1:13" x14ac:dyDescent="0.35">
      <c r="A546" s="42">
        <v>1037</v>
      </c>
      <c r="B546" s="42" t="s">
        <v>136</v>
      </c>
      <c r="C546" s="42" t="s">
        <v>137</v>
      </c>
      <c r="D546" s="42" t="s">
        <v>159</v>
      </c>
      <c r="E546" s="42" t="s">
        <v>274</v>
      </c>
      <c r="F546" s="42" t="s">
        <v>140</v>
      </c>
      <c r="G546" s="42" t="s">
        <v>141</v>
      </c>
      <c r="H546" s="42" t="s">
        <v>180</v>
      </c>
      <c r="I546" s="42">
        <v>5</v>
      </c>
      <c r="J546" s="43" t="s">
        <v>143</v>
      </c>
      <c r="K546" s="42" t="s">
        <v>210</v>
      </c>
      <c r="L546" s="42" t="s">
        <v>210</v>
      </c>
      <c r="M546" s="44" t="s">
        <v>836</v>
      </c>
    </row>
    <row r="547" spans="1:13" ht="25" x14ac:dyDescent="0.35">
      <c r="A547" s="42">
        <v>1037</v>
      </c>
      <c r="B547" s="42" t="s">
        <v>136</v>
      </c>
      <c r="C547" s="42" t="s">
        <v>137</v>
      </c>
      <c r="D547" s="42" t="s">
        <v>159</v>
      </c>
      <c r="E547" s="42" t="s">
        <v>274</v>
      </c>
      <c r="F547" s="42" t="s">
        <v>140</v>
      </c>
      <c r="G547" s="42" t="s">
        <v>141</v>
      </c>
      <c r="H547" s="42" t="s">
        <v>146</v>
      </c>
      <c r="I547" s="42">
        <v>1</v>
      </c>
      <c r="J547" s="43" t="s">
        <v>143</v>
      </c>
      <c r="K547" s="42" t="s">
        <v>196</v>
      </c>
      <c r="L547" s="42" t="s">
        <v>837</v>
      </c>
      <c r="M547" s="44" t="s">
        <v>838</v>
      </c>
    </row>
    <row r="548" spans="1:13" x14ac:dyDescent="0.35">
      <c r="A548" s="42">
        <v>1037</v>
      </c>
      <c r="B548" s="42" t="s">
        <v>136</v>
      </c>
      <c r="C548" s="42" t="s">
        <v>137</v>
      </c>
      <c r="D548" s="42" t="s">
        <v>159</v>
      </c>
      <c r="E548" s="42" t="s">
        <v>274</v>
      </c>
      <c r="F548" s="42" t="s">
        <v>140</v>
      </c>
      <c r="G548" s="42" t="s">
        <v>141</v>
      </c>
      <c r="H548" s="42" t="s">
        <v>150</v>
      </c>
      <c r="I548" s="42"/>
      <c r="J548" s="45" t="s">
        <v>147</v>
      </c>
      <c r="K548" s="42" t="s">
        <v>184</v>
      </c>
      <c r="L548" s="42" t="s">
        <v>184</v>
      </c>
      <c r="M548" s="44" t="s">
        <v>839</v>
      </c>
    </row>
    <row r="549" spans="1:13" x14ac:dyDescent="0.35">
      <c r="A549" s="42">
        <v>1037</v>
      </c>
      <c r="B549" s="42" t="s">
        <v>136</v>
      </c>
      <c r="C549" s="42" t="s">
        <v>137</v>
      </c>
      <c r="D549" s="42" t="s">
        <v>159</v>
      </c>
      <c r="E549" s="42" t="s">
        <v>274</v>
      </c>
      <c r="F549" s="42" t="s">
        <v>140</v>
      </c>
      <c r="G549" s="42" t="s">
        <v>141</v>
      </c>
      <c r="H549" s="42" t="s">
        <v>150</v>
      </c>
      <c r="I549" s="42"/>
      <c r="J549" s="45" t="s">
        <v>147</v>
      </c>
      <c r="K549" s="42" t="s">
        <v>144</v>
      </c>
      <c r="L549" s="42" t="s">
        <v>144</v>
      </c>
      <c r="M549" s="44" t="s">
        <v>840</v>
      </c>
    </row>
    <row r="550" spans="1:13" x14ac:dyDescent="0.35">
      <c r="A550" s="42">
        <v>1037</v>
      </c>
      <c r="B550" s="42" t="s">
        <v>136</v>
      </c>
      <c r="C550" s="42" t="s">
        <v>137</v>
      </c>
      <c r="D550" s="42" t="s">
        <v>159</v>
      </c>
      <c r="E550" s="42" t="s">
        <v>274</v>
      </c>
      <c r="F550" s="42" t="s">
        <v>140</v>
      </c>
      <c r="G550" s="42" t="s">
        <v>141</v>
      </c>
      <c r="H550" s="42" t="s">
        <v>156</v>
      </c>
      <c r="I550" s="42"/>
      <c r="J550" s="43" t="s">
        <v>143</v>
      </c>
      <c r="K550" s="42" t="s">
        <v>190</v>
      </c>
      <c r="L550" s="42" t="s">
        <v>190</v>
      </c>
      <c r="M550" s="44" t="s">
        <v>841</v>
      </c>
    </row>
    <row r="551" spans="1:13" x14ac:dyDescent="0.35">
      <c r="A551" s="42">
        <v>1037</v>
      </c>
      <c r="B551" s="42" t="s">
        <v>136</v>
      </c>
      <c r="C551" s="42" t="s">
        <v>137</v>
      </c>
      <c r="D551" s="42" t="s">
        <v>159</v>
      </c>
      <c r="E551" s="42" t="s">
        <v>274</v>
      </c>
      <c r="F551" s="42" t="s">
        <v>140</v>
      </c>
      <c r="G551" s="42" t="s">
        <v>141</v>
      </c>
      <c r="H551" s="42" t="s">
        <v>156</v>
      </c>
      <c r="I551" s="42"/>
      <c r="J551" s="43" t="s">
        <v>143</v>
      </c>
      <c r="K551" s="42" t="s">
        <v>210</v>
      </c>
      <c r="L551" s="42" t="s">
        <v>210</v>
      </c>
      <c r="M551" s="44" t="s">
        <v>590</v>
      </c>
    </row>
    <row r="552" spans="1:13" x14ac:dyDescent="0.35">
      <c r="A552" s="42">
        <v>1037</v>
      </c>
      <c r="B552" s="42" t="s">
        <v>136</v>
      </c>
      <c r="C552" s="42" t="s">
        <v>137</v>
      </c>
      <c r="D552" s="42" t="s">
        <v>159</v>
      </c>
      <c r="E552" s="42" t="s">
        <v>274</v>
      </c>
      <c r="F552" s="42" t="s">
        <v>140</v>
      </c>
      <c r="G552" s="42" t="s">
        <v>141</v>
      </c>
      <c r="H552" s="42" t="s">
        <v>156</v>
      </c>
      <c r="I552" s="42"/>
      <c r="J552" s="43" t="s">
        <v>143</v>
      </c>
      <c r="K552" s="42" t="s">
        <v>144</v>
      </c>
      <c r="L552" s="42" t="s">
        <v>144</v>
      </c>
      <c r="M552" s="44" t="s">
        <v>842</v>
      </c>
    </row>
    <row r="553" spans="1:13" ht="25" x14ac:dyDescent="0.35">
      <c r="A553" s="42">
        <v>1054</v>
      </c>
      <c r="B553" s="42" t="s">
        <v>136</v>
      </c>
      <c r="C553" s="42" t="s">
        <v>199</v>
      </c>
      <c r="D553" s="42" t="s">
        <v>159</v>
      </c>
      <c r="E553" s="42" t="s">
        <v>139</v>
      </c>
      <c r="F553" s="42" t="s">
        <v>140</v>
      </c>
      <c r="G553" s="42" t="s">
        <v>141</v>
      </c>
      <c r="H553" s="42" t="s">
        <v>146</v>
      </c>
      <c r="I553" s="42">
        <v>8</v>
      </c>
      <c r="J553" s="46" t="s">
        <v>222</v>
      </c>
      <c r="K553" s="42" t="s">
        <v>144</v>
      </c>
      <c r="L553" s="42" t="s">
        <v>843</v>
      </c>
      <c r="M553" s="44" t="s">
        <v>844</v>
      </c>
    </row>
    <row r="554" spans="1:13" x14ac:dyDescent="0.35">
      <c r="A554" s="42">
        <v>1054</v>
      </c>
      <c r="B554" s="42" t="s">
        <v>136</v>
      </c>
      <c r="C554" s="42" t="s">
        <v>199</v>
      </c>
      <c r="D554" s="42" t="s">
        <v>159</v>
      </c>
      <c r="E554" s="42" t="s">
        <v>139</v>
      </c>
      <c r="F554" s="42" t="s">
        <v>140</v>
      </c>
      <c r="G554" s="42" t="s">
        <v>141</v>
      </c>
      <c r="H554" s="42" t="s">
        <v>150</v>
      </c>
      <c r="I554" s="42"/>
      <c r="J554" s="45" t="s">
        <v>147</v>
      </c>
      <c r="K554" s="42" t="s">
        <v>268</v>
      </c>
      <c r="L554" s="42" t="s">
        <v>268</v>
      </c>
      <c r="M554" s="44" t="s">
        <v>845</v>
      </c>
    </row>
    <row r="555" spans="1:13" x14ac:dyDescent="0.35">
      <c r="A555" s="42">
        <v>1054</v>
      </c>
      <c r="B555" s="42" t="s">
        <v>136</v>
      </c>
      <c r="C555" s="42" t="s">
        <v>199</v>
      </c>
      <c r="D555" s="42" t="s">
        <v>159</v>
      </c>
      <c r="E555" s="42" t="s">
        <v>139</v>
      </c>
      <c r="F555" s="42" t="s">
        <v>140</v>
      </c>
      <c r="G555" s="42" t="s">
        <v>141</v>
      </c>
      <c r="H555" s="42" t="s">
        <v>150</v>
      </c>
      <c r="I555" s="42"/>
      <c r="J555" s="45" t="s">
        <v>147</v>
      </c>
      <c r="K555" s="42" t="s">
        <v>210</v>
      </c>
      <c r="L555" s="42" t="s">
        <v>210</v>
      </c>
      <c r="M555" s="44" t="s">
        <v>846</v>
      </c>
    </row>
    <row r="556" spans="1:13" x14ac:dyDescent="0.35">
      <c r="A556" s="42">
        <v>1054</v>
      </c>
      <c r="B556" s="42" t="s">
        <v>136</v>
      </c>
      <c r="C556" s="42" t="s">
        <v>199</v>
      </c>
      <c r="D556" s="42" t="s">
        <v>159</v>
      </c>
      <c r="E556" s="42" t="s">
        <v>139</v>
      </c>
      <c r="F556" s="42" t="s">
        <v>140</v>
      </c>
      <c r="G556" s="42" t="s">
        <v>141</v>
      </c>
      <c r="H556" s="42" t="s">
        <v>150</v>
      </c>
      <c r="I556" s="42"/>
      <c r="J556" s="45" t="s">
        <v>147</v>
      </c>
      <c r="K556" s="42" t="s">
        <v>76</v>
      </c>
      <c r="L556" s="42" t="s">
        <v>847</v>
      </c>
      <c r="M556" s="44" t="s">
        <v>848</v>
      </c>
    </row>
    <row r="557" spans="1:13" x14ac:dyDescent="0.35">
      <c r="A557" s="42">
        <v>1054</v>
      </c>
      <c r="B557" s="42" t="s">
        <v>136</v>
      </c>
      <c r="C557" s="42" t="s">
        <v>199</v>
      </c>
      <c r="D557" s="42" t="s">
        <v>159</v>
      </c>
      <c r="E557" s="42" t="s">
        <v>139</v>
      </c>
      <c r="F557" s="42" t="s">
        <v>140</v>
      </c>
      <c r="G557" s="42" t="s">
        <v>141</v>
      </c>
      <c r="H557" s="42" t="s">
        <v>156</v>
      </c>
      <c r="I557" s="42"/>
      <c r="J557" s="43" t="s">
        <v>143</v>
      </c>
      <c r="K557" s="42" t="s">
        <v>210</v>
      </c>
      <c r="L557" s="42" t="s">
        <v>210</v>
      </c>
      <c r="M557" s="44" t="s">
        <v>849</v>
      </c>
    </row>
    <row r="558" spans="1:13" ht="25" x14ac:dyDescent="0.35">
      <c r="A558" s="42">
        <v>929</v>
      </c>
      <c r="B558" s="42" t="s">
        <v>136</v>
      </c>
      <c r="C558" s="42" t="s">
        <v>137</v>
      </c>
      <c r="D558" s="42" t="s">
        <v>159</v>
      </c>
      <c r="E558" s="42" t="s">
        <v>160</v>
      </c>
      <c r="F558" s="42" t="s">
        <v>160</v>
      </c>
      <c r="G558" s="42" t="s">
        <v>141</v>
      </c>
      <c r="H558" s="42" t="s">
        <v>166</v>
      </c>
      <c r="I558" s="42">
        <v>5</v>
      </c>
      <c r="J558" s="43" t="s">
        <v>143</v>
      </c>
      <c r="K558" s="42" t="s">
        <v>50</v>
      </c>
      <c r="L558" s="42" t="s">
        <v>850</v>
      </c>
      <c r="M558" s="44" t="s">
        <v>851</v>
      </c>
    </row>
    <row r="559" spans="1:13" x14ac:dyDescent="0.35">
      <c r="A559" s="42">
        <v>929</v>
      </c>
      <c r="B559" s="42" t="s">
        <v>136</v>
      </c>
      <c r="C559" s="42" t="s">
        <v>137</v>
      </c>
      <c r="D559" s="42" t="s">
        <v>159</v>
      </c>
      <c r="E559" s="42" t="s">
        <v>160</v>
      </c>
      <c r="F559" s="42" t="s">
        <v>160</v>
      </c>
      <c r="G559" s="42" t="s">
        <v>141</v>
      </c>
      <c r="H559" s="42" t="s">
        <v>146</v>
      </c>
      <c r="I559" s="42">
        <v>7</v>
      </c>
      <c r="J559" s="46" t="s">
        <v>222</v>
      </c>
      <c r="K559" s="42" t="s">
        <v>144</v>
      </c>
      <c r="L559" s="42" t="s">
        <v>250</v>
      </c>
      <c r="M559" s="44" t="s">
        <v>852</v>
      </c>
    </row>
    <row r="560" spans="1:13" x14ac:dyDescent="0.35">
      <c r="A560" s="42">
        <v>929</v>
      </c>
      <c r="B560" s="42" t="s">
        <v>136</v>
      </c>
      <c r="C560" s="42" t="s">
        <v>137</v>
      </c>
      <c r="D560" s="42" t="s">
        <v>159</v>
      </c>
      <c r="E560" s="42" t="s">
        <v>160</v>
      </c>
      <c r="F560" s="42" t="s">
        <v>160</v>
      </c>
      <c r="G560" s="42" t="s">
        <v>141</v>
      </c>
      <c r="H560" s="42" t="s">
        <v>150</v>
      </c>
      <c r="I560" s="42"/>
      <c r="J560" s="45" t="s">
        <v>147</v>
      </c>
      <c r="K560" s="42" t="s">
        <v>144</v>
      </c>
      <c r="L560" s="42" t="s">
        <v>144</v>
      </c>
      <c r="M560" s="44" t="s">
        <v>853</v>
      </c>
    </row>
    <row r="561" spans="1:13" x14ac:dyDescent="0.35">
      <c r="A561" s="42">
        <v>929</v>
      </c>
      <c r="B561" s="42" t="s">
        <v>136</v>
      </c>
      <c r="C561" s="42" t="s">
        <v>137</v>
      </c>
      <c r="D561" s="42" t="s">
        <v>159</v>
      </c>
      <c r="E561" s="42" t="s">
        <v>160</v>
      </c>
      <c r="F561" s="42" t="s">
        <v>160</v>
      </c>
      <c r="G561" s="42" t="s">
        <v>141</v>
      </c>
      <c r="H561" s="42" t="s">
        <v>150</v>
      </c>
      <c r="I561" s="42"/>
      <c r="J561" s="45" t="s">
        <v>147</v>
      </c>
      <c r="K561" s="42" t="s">
        <v>196</v>
      </c>
      <c r="L561" s="42" t="s">
        <v>201</v>
      </c>
      <c r="M561" s="44" t="s">
        <v>854</v>
      </c>
    </row>
    <row r="562" spans="1:13" x14ac:dyDescent="0.35">
      <c r="A562" s="42">
        <v>929</v>
      </c>
      <c r="B562" s="42" t="s">
        <v>136</v>
      </c>
      <c r="C562" s="42" t="s">
        <v>137</v>
      </c>
      <c r="D562" s="42" t="s">
        <v>159</v>
      </c>
      <c r="E562" s="42" t="s">
        <v>160</v>
      </c>
      <c r="F562" s="42" t="s">
        <v>160</v>
      </c>
      <c r="G562" s="42" t="s">
        <v>141</v>
      </c>
      <c r="H562" s="42" t="s">
        <v>150</v>
      </c>
      <c r="I562" s="42"/>
      <c r="J562" s="45" t="s">
        <v>147</v>
      </c>
      <c r="K562" s="42" t="s">
        <v>76</v>
      </c>
      <c r="L562" s="42" t="s">
        <v>855</v>
      </c>
      <c r="M562" s="44" t="s">
        <v>856</v>
      </c>
    </row>
    <row r="563" spans="1:13" x14ac:dyDescent="0.35">
      <c r="A563" s="42">
        <v>929</v>
      </c>
      <c r="B563" s="42" t="s">
        <v>136</v>
      </c>
      <c r="C563" s="42" t="s">
        <v>137</v>
      </c>
      <c r="D563" s="42" t="s">
        <v>159</v>
      </c>
      <c r="E563" s="42" t="s">
        <v>160</v>
      </c>
      <c r="F563" s="42" t="s">
        <v>160</v>
      </c>
      <c r="G563" s="42" t="s">
        <v>141</v>
      </c>
      <c r="H563" s="42" t="s">
        <v>156</v>
      </c>
      <c r="I563" s="42"/>
      <c r="J563" s="43" t="s">
        <v>143</v>
      </c>
      <c r="K563" s="42" t="s">
        <v>76</v>
      </c>
      <c r="L563" s="42" t="s">
        <v>703</v>
      </c>
      <c r="M563" s="44" t="s">
        <v>857</v>
      </c>
    </row>
    <row r="564" spans="1:13" ht="25" x14ac:dyDescent="0.35">
      <c r="A564" s="42">
        <v>929</v>
      </c>
      <c r="B564" s="42" t="s">
        <v>136</v>
      </c>
      <c r="C564" s="42" t="s">
        <v>137</v>
      </c>
      <c r="D564" s="42" t="s">
        <v>159</v>
      </c>
      <c r="E564" s="42" t="s">
        <v>160</v>
      </c>
      <c r="F564" s="42" t="s">
        <v>160</v>
      </c>
      <c r="G564" s="42" t="s">
        <v>141</v>
      </c>
      <c r="H564" s="42" t="s">
        <v>156</v>
      </c>
      <c r="I564" s="42"/>
      <c r="J564" s="43" t="s">
        <v>143</v>
      </c>
      <c r="K564" s="42" t="s">
        <v>144</v>
      </c>
      <c r="L564" s="42" t="s">
        <v>164</v>
      </c>
      <c r="M564" s="44" t="s">
        <v>858</v>
      </c>
    </row>
    <row r="565" spans="1:13" ht="25" x14ac:dyDescent="0.35">
      <c r="A565" s="42">
        <v>1058</v>
      </c>
      <c r="B565" s="42" t="s">
        <v>136</v>
      </c>
      <c r="C565" s="42" t="s">
        <v>199</v>
      </c>
      <c r="D565" s="42" t="s">
        <v>176</v>
      </c>
      <c r="E565" s="42" t="s">
        <v>206</v>
      </c>
      <c r="F565" s="42" t="s">
        <v>206</v>
      </c>
      <c r="G565" s="42" t="s">
        <v>141</v>
      </c>
      <c r="H565" s="42" t="s">
        <v>163</v>
      </c>
      <c r="I565" s="42"/>
      <c r="J565" s="46" t="s">
        <v>222</v>
      </c>
      <c r="K565" s="42" t="s">
        <v>184</v>
      </c>
      <c r="L565" s="42" t="s">
        <v>859</v>
      </c>
      <c r="M565" s="44" t="s">
        <v>860</v>
      </c>
    </row>
    <row r="566" spans="1:13" ht="25" x14ac:dyDescent="0.35">
      <c r="A566" s="42">
        <v>1058</v>
      </c>
      <c r="B566" s="42" t="s">
        <v>136</v>
      </c>
      <c r="C566" s="42" t="s">
        <v>199</v>
      </c>
      <c r="D566" s="42" t="s">
        <v>176</v>
      </c>
      <c r="E566" s="42" t="s">
        <v>206</v>
      </c>
      <c r="F566" s="42" t="s">
        <v>206</v>
      </c>
      <c r="G566" s="42" t="s">
        <v>141</v>
      </c>
      <c r="H566" s="42" t="s">
        <v>146</v>
      </c>
      <c r="I566" s="42">
        <v>9</v>
      </c>
      <c r="J566" s="45" t="s">
        <v>147</v>
      </c>
      <c r="K566" s="42" t="s">
        <v>181</v>
      </c>
      <c r="L566" s="42" t="s">
        <v>181</v>
      </c>
      <c r="M566" s="44" t="s">
        <v>861</v>
      </c>
    </row>
    <row r="567" spans="1:13" x14ac:dyDescent="0.35">
      <c r="A567" s="42">
        <v>1058</v>
      </c>
      <c r="B567" s="42" t="s">
        <v>136</v>
      </c>
      <c r="C567" s="42" t="s">
        <v>199</v>
      </c>
      <c r="D567" s="42" t="s">
        <v>176</v>
      </c>
      <c r="E567" s="42" t="s">
        <v>206</v>
      </c>
      <c r="F567" s="42" t="s">
        <v>206</v>
      </c>
      <c r="G567" s="42" t="s">
        <v>141</v>
      </c>
      <c r="H567" s="42" t="s">
        <v>150</v>
      </c>
      <c r="I567" s="42"/>
      <c r="J567" s="45" t="s">
        <v>147</v>
      </c>
      <c r="K567" s="42" t="s">
        <v>82</v>
      </c>
      <c r="L567" s="42" t="s">
        <v>376</v>
      </c>
      <c r="M567" s="44" t="s">
        <v>862</v>
      </c>
    </row>
    <row r="568" spans="1:13" x14ac:dyDescent="0.35">
      <c r="A568" s="42">
        <v>1058</v>
      </c>
      <c r="B568" s="42" t="s">
        <v>136</v>
      </c>
      <c r="C568" s="42" t="s">
        <v>199</v>
      </c>
      <c r="D568" s="42" t="s">
        <v>176</v>
      </c>
      <c r="E568" s="42" t="s">
        <v>206</v>
      </c>
      <c r="F568" s="42" t="s">
        <v>206</v>
      </c>
      <c r="G568" s="42" t="s">
        <v>141</v>
      </c>
      <c r="H568" s="42" t="s">
        <v>150</v>
      </c>
      <c r="I568" s="42"/>
      <c r="J568" s="45" t="s">
        <v>147</v>
      </c>
      <c r="K568" s="42" t="s">
        <v>268</v>
      </c>
      <c r="L568" s="42" t="s">
        <v>863</v>
      </c>
      <c r="M568" s="44" t="s">
        <v>864</v>
      </c>
    </row>
    <row r="569" spans="1:13" x14ac:dyDescent="0.35">
      <c r="A569" s="42">
        <v>1058</v>
      </c>
      <c r="B569" s="42" t="s">
        <v>136</v>
      </c>
      <c r="C569" s="42" t="s">
        <v>199</v>
      </c>
      <c r="D569" s="42" t="s">
        <v>176</v>
      </c>
      <c r="E569" s="42" t="s">
        <v>206</v>
      </c>
      <c r="F569" s="42" t="s">
        <v>206</v>
      </c>
      <c r="G569" s="42" t="s">
        <v>141</v>
      </c>
      <c r="H569" s="42" t="s">
        <v>150</v>
      </c>
      <c r="I569" s="42"/>
      <c r="J569" s="45" t="s">
        <v>147</v>
      </c>
      <c r="K569" s="42" t="s">
        <v>78</v>
      </c>
      <c r="L569" s="42" t="s">
        <v>78</v>
      </c>
      <c r="M569" s="44" t="s">
        <v>865</v>
      </c>
    </row>
    <row r="570" spans="1:13" x14ac:dyDescent="0.35">
      <c r="A570" s="42">
        <v>1058</v>
      </c>
      <c r="B570" s="42" t="s">
        <v>136</v>
      </c>
      <c r="C570" s="42" t="s">
        <v>199</v>
      </c>
      <c r="D570" s="42" t="s">
        <v>176</v>
      </c>
      <c r="E570" s="42" t="s">
        <v>206</v>
      </c>
      <c r="F570" s="42" t="s">
        <v>206</v>
      </c>
      <c r="G570" s="42" t="s">
        <v>141</v>
      </c>
      <c r="H570" s="42" t="s">
        <v>156</v>
      </c>
      <c r="I570" s="42"/>
      <c r="J570" s="43" t="s">
        <v>143</v>
      </c>
      <c r="K570" s="42" t="s">
        <v>78</v>
      </c>
      <c r="L570" s="42" t="s">
        <v>78</v>
      </c>
      <c r="M570" s="44" t="s">
        <v>866</v>
      </c>
    </row>
    <row r="571" spans="1:13" ht="25" x14ac:dyDescent="0.35">
      <c r="A571" s="42">
        <v>935</v>
      </c>
      <c r="B571" s="42" t="s">
        <v>175</v>
      </c>
      <c r="C571" s="42" t="s">
        <v>199</v>
      </c>
      <c r="D571" s="42" t="s">
        <v>159</v>
      </c>
      <c r="E571" s="42" t="s">
        <v>160</v>
      </c>
      <c r="F571" s="42" t="s">
        <v>160</v>
      </c>
      <c r="G571" s="42" t="s">
        <v>141</v>
      </c>
      <c r="H571" s="42" t="s">
        <v>177</v>
      </c>
      <c r="I571" s="42">
        <v>3</v>
      </c>
      <c r="J571" s="43" t="s">
        <v>143</v>
      </c>
      <c r="K571" s="42" t="s">
        <v>53</v>
      </c>
      <c r="L571" s="42" t="s">
        <v>440</v>
      </c>
      <c r="M571" s="44" t="s">
        <v>867</v>
      </c>
    </row>
    <row r="572" spans="1:13" x14ac:dyDescent="0.35">
      <c r="A572" s="42">
        <v>935</v>
      </c>
      <c r="B572" s="42" t="s">
        <v>175</v>
      </c>
      <c r="C572" s="42" t="s">
        <v>199</v>
      </c>
      <c r="D572" s="42" t="s">
        <v>159</v>
      </c>
      <c r="E572" s="42" t="s">
        <v>160</v>
      </c>
      <c r="F572" s="42" t="s">
        <v>160</v>
      </c>
      <c r="G572" s="42" t="s">
        <v>141</v>
      </c>
      <c r="H572" s="42" t="s">
        <v>146</v>
      </c>
      <c r="I572" s="42">
        <v>7</v>
      </c>
      <c r="J572" s="46" t="s">
        <v>222</v>
      </c>
      <c r="K572" s="42" t="s">
        <v>210</v>
      </c>
      <c r="L572" s="42" t="s">
        <v>210</v>
      </c>
      <c r="M572" s="44" t="s">
        <v>868</v>
      </c>
    </row>
    <row r="573" spans="1:13" x14ac:dyDescent="0.35">
      <c r="A573" s="42">
        <v>935</v>
      </c>
      <c r="B573" s="42" t="s">
        <v>175</v>
      </c>
      <c r="C573" s="42" t="s">
        <v>199</v>
      </c>
      <c r="D573" s="42" t="s">
        <v>159</v>
      </c>
      <c r="E573" s="42" t="s">
        <v>160</v>
      </c>
      <c r="F573" s="42" t="s">
        <v>160</v>
      </c>
      <c r="G573" s="42" t="s">
        <v>141</v>
      </c>
      <c r="H573" s="42" t="s">
        <v>150</v>
      </c>
      <c r="I573" s="42"/>
      <c r="J573" s="45" t="s">
        <v>147</v>
      </c>
      <c r="K573" s="42" t="s">
        <v>80</v>
      </c>
      <c r="L573" s="42" t="s">
        <v>80</v>
      </c>
      <c r="M573" s="44" t="s">
        <v>869</v>
      </c>
    </row>
    <row r="574" spans="1:13" x14ac:dyDescent="0.35">
      <c r="A574" s="42">
        <v>935</v>
      </c>
      <c r="B574" s="42" t="s">
        <v>175</v>
      </c>
      <c r="C574" s="42" t="s">
        <v>199</v>
      </c>
      <c r="D574" s="42" t="s">
        <v>159</v>
      </c>
      <c r="E574" s="42" t="s">
        <v>160</v>
      </c>
      <c r="F574" s="42" t="s">
        <v>160</v>
      </c>
      <c r="G574" s="42" t="s">
        <v>141</v>
      </c>
      <c r="H574" s="42" t="s">
        <v>156</v>
      </c>
      <c r="I574" s="42"/>
      <c r="J574" s="43" t="s">
        <v>143</v>
      </c>
      <c r="K574" s="42" t="s">
        <v>181</v>
      </c>
      <c r="L574" s="42" t="s">
        <v>397</v>
      </c>
      <c r="M574" s="44" t="s">
        <v>870</v>
      </c>
    </row>
    <row r="575" spans="1:13" x14ac:dyDescent="0.35">
      <c r="A575" s="42">
        <v>935</v>
      </c>
      <c r="B575" s="42" t="s">
        <v>175</v>
      </c>
      <c r="C575" s="42" t="s">
        <v>199</v>
      </c>
      <c r="D575" s="42" t="s">
        <v>159</v>
      </c>
      <c r="E575" s="42" t="s">
        <v>160</v>
      </c>
      <c r="F575" s="42" t="s">
        <v>160</v>
      </c>
      <c r="G575" s="42" t="s">
        <v>141</v>
      </c>
      <c r="H575" s="42" t="s">
        <v>156</v>
      </c>
      <c r="I575" s="42"/>
      <c r="J575" s="43" t="s">
        <v>143</v>
      </c>
      <c r="K575" s="42" t="s">
        <v>210</v>
      </c>
      <c r="L575" s="42" t="s">
        <v>210</v>
      </c>
      <c r="M575" s="44" t="s">
        <v>871</v>
      </c>
    </row>
    <row r="576" spans="1:13" x14ac:dyDescent="0.35">
      <c r="A576" s="42">
        <v>935</v>
      </c>
      <c r="B576" s="42" t="s">
        <v>175</v>
      </c>
      <c r="C576" s="42" t="s">
        <v>199</v>
      </c>
      <c r="D576" s="42" t="s">
        <v>159</v>
      </c>
      <c r="E576" s="42" t="s">
        <v>160</v>
      </c>
      <c r="F576" s="42" t="s">
        <v>160</v>
      </c>
      <c r="G576" s="42" t="s">
        <v>141</v>
      </c>
      <c r="H576" s="42" t="s">
        <v>156</v>
      </c>
      <c r="I576" s="42"/>
      <c r="J576" s="43" t="s">
        <v>143</v>
      </c>
      <c r="K576" s="42" t="s">
        <v>210</v>
      </c>
      <c r="L576" s="42" t="s">
        <v>210</v>
      </c>
      <c r="M576" s="44" t="s">
        <v>872</v>
      </c>
    </row>
    <row r="577" spans="1:13" x14ac:dyDescent="0.35">
      <c r="A577" s="42">
        <v>937</v>
      </c>
      <c r="B577" s="42" t="s">
        <v>136</v>
      </c>
      <c r="C577" s="42" t="s">
        <v>137</v>
      </c>
      <c r="D577" s="42" t="s">
        <v>159</v>
      </c>
      <c r="E577" s="42" t="s">
        <v>160</v>
      </c>
      <c r="F577" s="42" t="s">
        <v>160</v>
      </c>
      <c r="G577" s="42" t="s">
        <v>141</v>
      </c>
      <c r="H577" s="42" t="s">
        <v>146</v>
      </c>
      <c r="I577" s="42">
        <v>7</v>
      </c>
      <c r="J577" s="46" t="s">
        <v>222</v>
      </c>
      <c r="K577" s="42" t="s">
        <v>80</v>
      </c>
      <c r="L577" s="42" t="s">
        <v>80</v>
      </c>
      <c r="M577" s="44" t="s">
        <v>873</v>
      </c>
    </row>
    <row r="578" spans="1:13" x14ac:dyDescent="0.35">
      <c r="A578" s="42">
        <v>937</v>
      </c>
      <c r="B578" s="42" t="s">
        <v>136</v>
      </c>
      <c r="C578" s="42" t="s">
        <v>137</v>
      </c>
      <c r="D578" s="42" t="s">
        <v>159</v>
      </c>
      <c r="E578" s="42" t="s">
        <v>160</v>
      </c>
      <c r="F578" s="42" t="s">
        <v>160</v>
      </c>
      <c r="G578" s="42" t="s">
        <v>141</v>
      </c>
      <c r="H578" s="42" t="s">
        <v>150</v>
      </c>
      <c r="I578" s="42"/>
      <c r="J578" s="45" t="s">
        <v>147</v>
      </c>
      <c r="K578" s="42" t="s">
        <v>80</v>
      </c>
      <c r="L578" s="42" t="s">
        <v>80</v>
      </c>
      <c r="M578" s="44" t="s">
        <v>874</v>
      </c>
    </row>
    <row r="579" spans="1:13" x14ac:dyDescent="0.35">
      <c r="A579" s="42">
        <v>937</v>
      </c>
      <c r="B579" s="42" t="s">
        <v>136</v>
      </c>
      <c r="C579" s="42" t="s">
        <v>137</v>
      </c>
      <c r="D579" s="42" t="s">
        <v>159</v>
      </c>
      <c r="E579" s="42" t="s">
        <v>160</v>
      </c>
      <c r="F579" s="42" t="s">
        <v>160</v>
      </c>
      <c r="G579" s="42" t="s">
        <v>141</v>
      </c>
      <c r="H579" s="42" t="s">
        <v>150</v>
      </c>
      <c r="I579" s="42"/>
      <c r="J579" s="45" t="s">
        <v>147</v>
      </c>
      <c r="K579" s="42" t="s">
        <v>190</v>
      </c>
      <c r="L579" s="42" t="s">
        <v>190</v>
      </c>
      <c r="M579" s="44" t="s">
        <v>875</v>
      </c>
    </row>
    <row r="580" spans="1:13" x14ac:dyDescent="0.35">
      <c r="A580" s="42">
        <v>937</v>
      </c>
      <c r="B580" s="42" t="s">
        <v>136</v>
      </c>
      <c r="C580" s="42" t="s">
        <v>137</v>
      </c>
      <c r="D580" s="42" t="s">
        <v>159</v>
      </c>
      <c r="E580" s="42" t="s">
        <v>160</v>
      </c>
      <c r="F580" s="42" t="s">
        <v>160</v>
      </c>
      <c r="G580" s="42" t="s">
        <v>141</v>
      </c>
      <c r="H580" s="42" t="s">
        <v>150</v>
      </c>
      <c r="I580" s="42"/>
      <c r="J580" s="45" t="s">
        <v>147</v>
      </c>
      <c r="K580" s="42" t="s">
        <v>190</v>
      </c>
      <c r="L580" s="42" t="s">
        <v>190</v>
      </c>
      <c r="M580" s="44" t="s">
        <v>876</v>
      </c>
    </row>
    <row r="581" spans="1:13" x14ac:dyDescent="0.35">
      <c r="A581" s="42">
        <v>937</v>
      </c>
      <c r="B581" s="42" t="s">
        <v>136</v>
      </c>
      <c r="C581" s="42" t="s">
        <v>137</v>
      </c>
      <c r="D581" s="42" t="s">
        <v>159</v>
      </c>
      <c r="E581" s="42" t="s">
        <v>160</v>
      </c>
      <c r="F581" s="42" t="s">
        <v>160</v>
      </c>
      <c r="G581" s="42" t="s">
        <v>141</v>
      </c>
      <c r="H581" s="42" t="s">
        <v>156</v>
      </c>
      <c r="I581" s="42"/>
      <c r="J581" s="43" t="s">
        <v>143</v>
      </c>
      <c r="K581" s="42" t="s">
        <v>187</v>
      </c>
      <c r="L581" s="42" t="s">
        <v>279</v>
      </c>
      <c r="M581" s="44" t="s">
        <v>877</v>
      </c>
    </row>
    <row r="582" spans="1:13" x14ac:dyDescent="0.35">
      <c r="A582" s="42">
        <v>937</v>
      </c>
      <c r="B582" s="42" t="s">
        <v>136</v>
      </c>
      <c r="C582" s="42" t="s">
        <v>137</v>
      </c>
      <c r="D582" s="42" t="s">
        <v>159</v>
      </c>
      <c r="E582" s="42" t="s">
        <v>160</v>
      </c>
      <c r="F582" s="42" t="s">
        <v>160</v>
      </c>
      <c r="G582" s="42" t="s">
        <v>141</v>
      </c>
      <c r="H582" s="42" t="s">
        <v>156</v>
      </c>
      <c r="I582" s="42"/>
      <c r="J582" s="43" t="s">
        <v>143</v>
      </c>
      <c r="K582" s="42" t="s">
        <v>76</v>
      </c>
      <c r="L582" s="42" t="s">
        <v>552</v>
      </c>
      <c r="M582" s="44" t="s">
        <v>878</v>
      </c>
    </row>
    <row r="583" spans="1:13" x14ac:dyDescent="0.35">
      <c r="A583" s="42">
        <v>937</v>
      </c>
      <c r="B583" s="42" t="s">
        <v>136</v>
      </c>
      <c r="C583" s="42" t="s">
        <v>137</v>
      </c>
      <c r="D583" s="42" t="s">
        <v>159</v>
      </c>
      <c r="E583" s="42" t="s">
        <v>160</v>
      </c>
      <c r="F583" s="42" t="s">
        <v>160</v>
      </c>
      <c r="G583" s="42" t="s">
        <v>141</v>
      </c>
      <c r="H583" s="42" t="s">
        <v>156</v>
      </c>
      <c r="I583" s="42"/>
      <c r="J583" s="43" t="s">
        <v>143</v>
      </c>
      <c r="K583" s="42" t="s">
        <v>144</v>
      </c>
      <c r="L583" s="42" t="s">
        <v>164</v>
      </c>
      <c r="M583" s="44" t="s">
        <v>879</v>
      </c>
    </row>
    <row r="584" spans="1:13" ht="37.5" x14ac:dyDescent="0.35">
      <c r="A584" s="42">
        <v>947</v>
      </c>
      <c r="B584" s="42" t="s">
        <v>175</v>
      </c>
      <c r="C584" s="42" t="s">
        <v>137</v>
      </c>
      <c r="D584" s="42" t="s">
        <v>176</v>
      </c>
      <c r="E584" s="42" t="s">
        <v>160</v>
      </c>
      <c r="F584" s="42" t="s">
        <v>160</v>
      </c>
      <c r="G584" s="42" t="s">
        <v>141</v>
      </c>
      <c r="H584" s="42" t="s">
        <v>166</v>
      </c>
      <c r="I584" s="42">
        <v>5</v>
      </c>
      <c r="J584" s="43" t="s">
        <v>143</v>
      </c>
      <c r="K584" s="42" t="s">
        <v>50</v>
      </c>
      <c r="L584" s="42" t="s">
        <v>880</v>
      </c>
      <c r="M584" s="44" t="s">
        <v>881</v>
      </c>
    </row>
    <row r="585" spans="1:13" ht="25" x14ac:dyDescent="0.35">
      <c r="A585" s="42">
        <v>947</v>
      </c>
      <c r="B585" s="42" t="s">
        <v>175</v>
      </c>
      <c r="C585" s="42" t="s">
        <v>137</v>
      </c>
      <c r="D585" s="42" t="s">
        <v>176</v>
      </c>
      <c r="E585" s="42" t="s">
        <v>160</v>
      </c>
      <c r="F585" s="42" t="s">
        <v>160</v>
      </c>
      <c r="G585" s="42" t="s">
        <v>141</v>
      </c>
      <c r="H585" s="42" t="s">
        <v>146</v>
      </c>
      <c r="I585" s="42">
        <v>7</v>
      </c>
      <c r="J585" s="46" t="s">
        <v>222</v>
      </c>
      <c r="K585" s="42" t="s">
        <v>187</v>
      </c>
      <c r="L585" s="42" t="s">
        <v>882</v>
      </c>
      <c r="M585" s="44" t="s">
        <v>883</v>
      </c>
    </row>
    <row r="586" spans="1:13" x14ac:dyDescent="0.35">
      <c r="A586" s="42">
        <v>947</v>
      </c>
      <c r="B586" s="42" t="s">
        <v>175</v>
      </c>
      <c r="C586" s="42" t="s">
        <v>137</v>
      </c>
      <c r="D586" s="42" t="s">
        <v>176</v>
      </c>
      <c r="E586" s="42" t="s">
        <v>160</v>
      </c>
      <c r="F586" s="42" t="s">
        <v>160</v>
      </c>
      <c r="G586" s="42" t="s">
        <v>141</v>
      </c>
      <c r="H586" s="42" t="s">
        <v>150</v>
      </c>
      <c r="I586" s="42"/>
      <c r="J586" s="45" t="s">
        <v>147</v>
      </c>
      <c r="K586" s="42" t="s">
        <v>78</v>
      </c>
      <c r="L586" s="42" t="s">
        <v>78</v>
      </c>
      <c r="M586" s="44" t="s">
        <v>884</v>
      </c>
    </row>
    <row r="587" spans="1:13" x14ac:dyDescent="0.35">
      <c r="A587" s="42">
        <v>947</v>
      </c>
      <c r="B587" s="42" t="s">
        <v>175</v>
      </c>
      <c r="C587" s="42" t="s">
        <v>137</v>
      </c>
      <c r="D587" s="42" t="s">
        <v>176</v>
      </c>
      <c r="E587" s="42" t="s">
        <v>160</v>
      </c>
      <c r="F587" s="42" t="s">
        <v>160</v>
      </c>
      <c r="G587" s="42" t="s">
        <v>141</v>
      </c>
      <c r="H587" s="42" t="s">
        <v>150</v>
      </c>
      <c r="I587" s="42"/>
      <c r="J587" s="45" t="s">
        <v>147</v>
      </c>
      <c r="K587" s="42" t="s">
        <v>210</v>
      </c>
      <c r="L587" s="42" t="s">
        <v>210</v>
      </c>
      <c r="M587" s="44" t="s">
        <v>885</v>
      </c>
    </row>
    <row r="588" spans="1:13" x14ac:dyDescent="0.35">
      <c r="A588" s="42">
        <v>947</v>
      </c>
      <c r="B588" s="42" t="s">
        <v>175</v>
      </c>
      <c r="C588" s="42" t="s">
        <v>137</v>
      </c>
      <c r="D588" s="42" t="s">
        <v>176</v>
      </c>
      <c r="E588" s="42" t="s">
        <v>160</v>
      </c>
      <c r="F588" s="42" t="s">
        <v>160</v>
      </c>
      <c r="G588" s="42" t="s">
        <v>141</v>
      </c>
      <c r="H588" s="42" t="s">
        <v>156</v>
      </c>
      <c r="I588" s="42"/>
      <c r="J588" s="43" t="s">
        <v>143</v>
      </c>
      <c r="K588" s="42" t="s">
        <v>181</v>
      </c>
      <c r="L588" s="42" t="s">
        <v>397</v>
      </c>
      <c r="M588" s="44" t="s">
        <v>886</v>
      </c>
    </row>
    <row r="589" spans="1:13" x14ac:dyDescent="0.35">
      <c r="A589" s="42">
        <v>947</v>
      </c>
      <c r="B589" s="42" t="s">
        <v>175</v>
      </c>
      <c r="C589" s="42" t="s">
        <v>137</v>
      </c>
      <c r="D589" s="42" t="s">
        <v>176</v>
      </c>
      <c r="E589" s="42" t="s">
        <v>160</v>
      </c>
      <c r="F589" s="42" t="s">
        <v>160</v>
      </c>
      <c r="G589" s="42" t="s">
        <v>141</v>
      </c>
      <c r="H589" s="42" t="s">
        <v>156</v>
      </c>
      <c r="I589" s="42"/>
      <c r="J589" s="43" t="s">
        <v>143</v>
      </c>
      <c r="K589" s="42" t="s">
        <v>84</v>
      </c>
      <c r="L589" s="42" t="s">
        <v>84</v>
      </c>
      <c r="M589" s="44" t="s">
        <v>887</v>
      </c>
    </row>
    <row r="590" spans="1:13" x14ac:dyDescent="0.35">
      <c r="A590" s="42">
        <v>947</v>
      </c>
      <c r="B590" s="42" t="s">
        <v>175</v>
      </c>
      <c r="C590" s="42" t="s">
        <v>137</v>
      </c>
      <c r="D590" s="42" t="s">
        <v>176</v>
      </c>
      <c r="E590" s="42" t="s">
        <v>160</v>
      </c>
      <c r="F590" s="42" t="s">
        <v>160</v>
      </c>
      <c r="G590" s="42" t="s">
        <v>141</v>
      </c>
      <c r="H590" s="42" t="s">
        <v>156</v>
      </c>
      <c r="I590" s="42"/>
      <c r="J590" s="43" t="s">
        <v>143</v>
      </c>
      <c r="K590" s="42" t="s">
        <v>196</v>
      </c>
      <c r="L590" s="42" t="s">
        <v>196</v>
      </c>
      <c r="M590" s="44" t="s">
        <v>888</v>
      </c>
    </row>
    <row r="591" spans="1:13" ht="37.5" x14ac:dyDescent="0.35">
      <c r="A591" s="42">
        <v>1016</v>
      </c>
      <c r="B591" s="42" t="s">
        <v>136</v>
      </c>
      <c r="C591" s="42" t="s">
        <v>199</v>
      </c>
      <c r="D591" s="42" t="s">
        <v>219</v>
      </c>
      <c r="E591" s="42" t="s">
        <v>160</v>
      </c>
      <c r="F591" s="42" t="s">
        <v>160</v>
      </c>
      <c r="G591" s="42" t="s">
        <v>141</v>
      </c>
      <c r="H591" s="42" t="s">
        <v>142</v>
      </c>
      <c r="I591" s="42">
        <v>5</v>
      </c>
      <c r="J591" s="43" t="s">
        <v>143</v>
      </c>
      <c r="K591" s="42" t="s">
        <v>144</v>
      </c>
      <c r="L591" s="42" t="s">
        <v>612</v>
      </c>
      <c r="M591" s="44" t="s">
        <v>889</v>
      </c>
    </row>
    <row r="592" spans="1:13" ht="25" x14ac:dyDescent="0.35">
      <c r="A592" s="42">
        <v>1016</v>
      </c>
      <c r="B592" s="42" t="s">
        <v>136</v>
      </c>
      <c r="C592" s="42" t="s">
        <v>199</v>
      </c>
      <c r="D592" s="42" t="s">
        <v>219</v>
      </c>
      <c r="E592" s="42" t="s">
        <v>160</v>
      </c>
      <c r="F592" s="42" t="s">
        <v>160</v>
      </c>
      <c r="G592" s="42" t="s">
        <v>141</v>
      </c>
      <c r="H592" s="42" t="s">
        <v>163</v>
      </c>
      <c r="I592" s="42"/>
      <c r="J592" s="43" t="s">
        <v>143</v>
      </c>
      <c r="K592" s="42" t="s">
        <v>76</v>
      </c>
      <c r="L592" s="42" t="s">
        <v>446</v>
      </c>
      <c r="M592" s="44" t="s">
        <v>890</v>
      </c>
    </row>
    <row r="593" spans="1:13" ht="25" x14ac:dyDescent="0.35">
      <c r="A593" s="42">
        <v>1016</v>
      </c>
      <c r="B593" s="42" t="s">
        <v>136</v>
      </c>
      <c r="C593" s="42" t="s">
        <v>199</v>
      </c>
      <c r="D593" s="42" t="s">
        <v>219</v>
      </c>
      <c r="E593" s="42" t="s">
        <v>160</v>
      </c>
      <c r="F593" s="42" t="s">
        <v>160</v>
      </c>
      <c r="G593" s="42" t="s">
        <v>141</v>
      </c>
      <c r="H593" s="42" t="s">
        <v>146</v>
      </c>
      <c r="I593" s="42">
        <v>7</v>
      </c>
      <c r="J593" s="46" t="s">
        <v>222</v>
      </c>
      <c r="K593" s="42" t="s">
        <v>144</v>
      </c>
      <c r="L593" s="42" t="s">
        <v>891</v>
      </c>
      <c r="M593" s="44" t="s">
        <v>892</v>
      </c>
    </row>
    <row r="594" spans="1:13" x14ac:dyDescent="0.35">
      <c r="A594" s="42">
        <v>1016</v>
      </c>
      <c r="B594" s="42" t="s">
        <v>136</v>
      </c>
      <c r="C594" s="42" t="s">
        <v>199</v>
      </c>
      <c r="D594" s="42" t="s">
        <v>219</v>
      </c>
      <c r="E594" s="42" t="s">
        <v>160</v>
      </c>
      <c r="F594" s="42" t="s">
        <v>160</v>
      </c>
      <c r="G594" s="42" t="s">
        <v>141</v>
      </c>
      <c r="H594" s="42" t="s">
        <v>150</v>
      </c>
      <c r="I594" s="42"/>
      <c r="J594" s="45" t="s">
        <v>147</v>
      </c>
      <c r="K594" s="42" t="s">
        <v>50</v>
      </c>
      <c r="L594" s="42" t="s">
        <v>893</v>
      </c>
      <c r="M594" s="44" t="s">
        <v>894</v>
      </c>
    </row>
    <row r="595" spans="1:13" x14ac:dyDescent="0.35">
      <c r="A595" s="42">
        <v>1016</v>
      </c>
      <c r="B595" s="42" t="s">
        <v>136</v>
      </c>
      <c r="C595" s="42" t="s">
        <v>199</v>
      </c>
      <c r="D595" s="42" t="s">
        <v>219</v>
      </c>
      <c r="E595" s="42" t="s">
        <v>160</v>
      </c>
      <c r="F595" s="42" t="s">
        <v>160</v>
      </c>
      <c r="G595" s="42" t="s">
        <v>141</v>
      </c>
      <c r="H595" s="42" t="s">
        <v>150</v>
      </c>
      <c r="I595" s="42"/>
      <c r="J595" s="45" t="s">
        <v>147</v>
      </c>
      <c r="K595" s="42" t="s">
        <v>144</v>
      </c>
      <c r="L595" s="42" t="s">
        <v>144</v>
      </c>
      <c r="M595" s="44" t="s">
        <v>895</v>
      </c>
    </row>
    <row r="596" spans="1:13" x14ac:dyDescent="0.35">
      <c r="A596" s="42">
        <v>1016</v>
      </c>
      <c r="B596" s="42" t="s">
        <v>136</v>
      </c>
      <c r="C596" s="42" t="s">
        <v>199</v>
      </c>
      <c r="D596" s="42" t="s">
        <v>219</v>
      </c>
      <c r="E596" s="42" t="s">
        <v>160</v>
      </c>
      <c r="F596" s="42" t="s">
        <v>160</v>
      </c>
      <c r="G596" s="42" t="s">
        <v>141</v>
      </c>
      <c r="H596" s="42" t="s">
        <v>150</v>
      </c>
      <c r="I596" s="42"/>
      <c r="J596" s="45" t="s">
        <v>147</v>
      </c>
      <c r="K596" s="42" t="s">
        <v>76</v>
      </c>
      <c r="L596" s="42" t="s">
        <v>705</v>
      </c>
      <c r="M596" s="44" t="s">
        <v>896</v>
      </c>
    </row>
    <row r="597" spans="1:13" x14ac:dyDescent="0.35">
      <c r="A597" s="42">
        <v>1016</v>
      </c>
      <c r="B597" s="42" t="s">
        <v>136</v>
      </c>
      <c r="C597" s="42" t="s">
        <v>199</v>
      </c>
      <c r="D597" s="42" t="s">
        <v>219</v>
      </c>
      <c r="E597" s="42" t="s">
        <v>160</v>
      </c>
      <c r="F597" s="42" t="s">
        <v>160</v>
      </c>
      <c r="G597" s="42" t="s">
        <v>141</v>
      </c>
      <c r="H597" s="42" t="s">
        <v>156</v>
      </c>
      <c r="I597" s="42"/>
      <c r="J597" s="43" t="s">
        <v>143</v>
      </c>
      <c r="K597" s="42" t="s">
        <v>76</v>
      </c>
      <c r="L597" s="42" t="s">
        <v>446</v>
      </c>
      <c r="M597" s="44" t="s">
        <v>897</v>
      </c>
    </row>
    <row r="598" spans="1:13" x14ac:dyDescent="0.35">
      <c r="A598" s="42">
        <v>1016</v>
      </c>
      <c r="B598" s="42" t="s">
        <v>136</v>
      </c>
      <c r="C598" s="42" t="s">
        <v>199</v>
      </c>
      <c r="D598" s="42" t="s">
        <v>219</v>
      </c>
      <c r="E598" s="42" t="s">
        <v>160</v>
      </c>
      <c r="F598" s="42" t="s">
        <v>160</v>
      </c>
      <c r="G598" s="42" t="s">
        <v>141</v>
      </c>
      <c r="H598" s="42" t="s">
        <v>156</v>
      </c>
      <c r="I598" s="42"/>
      <c r="J598" s="43" t="s">
        <v>143</v>
      </c>
      <c r="K598" s="42" t="s">
        <v>196</v>
      </c>
      <c r="L598" s="42" t="s">
        <v>517</v>
      </c>
      <c r="M598" s="44" t="s">
        <v>898</v>
      </c>
    </row>
    <row r="599" spans="1:13" x14ac:dyDescent="0.35">
      <c r="A599" s="42">
        <v>1016</v>
      </c>
      <c r="B599" s="42" t="s">
        <v>136</v>
      </c>
      <c r="C599" s="42" t="s">
        <v>199</v>
      </c>
      <c r="D599" s="42" t="s">
        <v>219</v>
      </c>
      <c r="E599" s="42" t="s">
        <v>160</v>
      </c>
      <c r="F599" s="42" t="s">
        <v>160</v>
      </c>
      <c r="G599" s="42" t="s">
        <v>141</v>
      </c>
      <c r="H599" s="42" t="s">
        <v>156</v>
      </c>
      <c r="I599" s="42"/>
      <c r="J599" s="43" t="s">
        <v>143</v>
      </c>
      <c r="K599" s="42" t="s">
        <v>262</v>
      </c>
      <c r="L599" s="42" t="s">
        <v>262</v>
      </c>
      <c r="M599" s="44" t="s">
        <v>899</v>
      </c>
    </row>
    <row r="600" spans="1:13" x14ac:dyDescent="0.35">
      <c r="A600" s="42">
        <v>1062</v>
      </c>
      <c r="B600" s="42" t="s">
        <v>136</v>
      </c>
      <c r="C600" s="42" t="s">
        <v>137</v>
      </c>
      <c r="D600" s="42" t="s">
        <v>159</v>
      </c>
      <c r="E600" s="42" t="s">
        <v>160</v>
      </c>
      <c r="F600" s="42" t="s">
        <v>160</v>
      </c>
      <c r="G600" s="42" t="s">
        <v>141</v>
      </c>
      <c r="H600" s="42" t="s">
        <v>146</v>
      </c>
      <c r="I600" s="42">
        <v>7</v>
      </c>
      <c r="J600" s="46" t="s">
        <v>222</v>
      </c>
      <c r="K600" s="42" t="s">
        <v>484</v>
      </c>
      <c r="L600" s="42" t="s">
        <v>900</v>
      </c>
      <c r="M600" s="44" t="s">
        <v>901</v>
      </c>
    </row>
    <row r="601" spans="1:13" x14ac:dyDescent="0.35">
      <c r="A601" s="42">
        <v>1062</v>
      </c>
      <c r="B601" s="42" t="s">
        <v>136</v>
      </c>
      <c r="C601" s="42" t="s">
        <v>137</v>
      </c>
      <c r="D601" s="42" t="s">
        <v>159</v>
      </c>
      <c r="E601" s="42" t="s">
        <v>160</v>
      </c>
      <c r="F601" s="42" t="s">
        <v>160</v>
      </c>
      <c r="G601" s="42" t="s">
        <v>141</v>
      </c>
      <c r="H601" s="42" t="s">
        <v>156</v>
      </c>
      <c r="I601" s="42"/>
      <c r="J601" s="43" t="s">
        <v>143</v>
      </c>
      <c r="K601" s="42" t="s">
        <v>144</v>
      </c>
      <c r="L601" s="42" t="s">
        <v>144</v>
      </c>
      <c r="M601" s="44" t="s">
        <v>902</v>
      </c>
    </row>
    <row r="602" spans="1:13" x14ac:dyDescent="0.35">
      <c r="A602" s="42">
        <v>1062</v>
      </c>
      <c r="B602" s="42" t="s">
        <v>136</v>
      </c>
      <c r="C602" s="42" t="s">
        <v>137</v>
      </c>
      <c r="D602" s="42" t="s">
        <v>159</v>
      </c>
      <c r="E602" s="42" t="s">
        <v>160</v>
      </c>
      <c r="F602" s="42" t="s">
        <v>160</v>
      </c>
      <c r="G602" s="42" t="s">
        <v>141</v>
      </c>
      <c r="H602" s="42" t="s">
        <v>156</v>
      </c>
      <c r="I602" s="42"/>
      <c r="J602" s="43" t="s">
        <v>143</v>
      </c>
      <c r="K602" s="42" t="s">
        <v>144</v>
      </c>
      <c r="L602" s="42" t="s">
        <v>144</v>
      </c>
      <c r="M602" s="44" t="s">
        <v>903</v>
      </c>
    </row>
    <row r="603" spans="1:13" ht="25" x14ac:dyDescent="0.35">
      <c r="A603" s="42">
        <v>1064</v>
      </c>
      <c r="B603" s="42" t="s">
        <v>136</v>
      </c>
      <c r="C603" s="42" t="s">
        <v>137</v>
      </c>
      <c r="D603" s="42" t="s">
        <v>159</v>
      </c>
      <c r="E603" s="42" t="s">
        <v>160</v>
      </c>
      <c r="F603" s="42" t="s">
        <v>160</v>
      </c>
      <c r="G603" s="42" t="s">
        <v>141</v>
      </c>
      <c r="H603" s="42" t="s">
        <v>146</v>
      </c>
      <c r="I603" s="42">
        <v>7</v>
      </c>
      <c r="J603" s="46" t="s">
        <v>222</v>
      </c>
      <c r="K603" s="42" t="s">
        <v>187</v>
      </c>
      <c r="L603" s="42" t="s">
        <v>904</v>
      </c>
      <c r="M603" s="44" t="s">
        <v>905</v>
      </c>
    </row>
    <row r="604" spans="1:13" x14ac:dyDescent="0.35">
      <c r="A604" s="42">
        <v>1064</v>
      </c>
      <c r="B604" s="42" t="s">
        <v>136</v>
      </c>
      <c r="C604" s="42" t="s">
        <v>137</v>
      </c>
      <c r="D604" s="42" t="s">
        <v>159</v>
      </c>
      <c r="E604" s="42" t="s">
        <v>160</v>
      </c>
      <c r="F604" s="42" t="s">
        <v>160</v>
      </c>
      <c r="G604" s="42" t="s">
        <v>141</v>
      </c>
      <c r="H604" s="42" t="s">
        <v>150</v>
      </c>
      <c r="I604" s="42"/>
      <c r="J604" s="45" t="s">
        <v>147</v>
      </c>
      <c r="K604" s="42" t="s">
        <v>210</v>
      </c>
      <c r="L604" s="42" t="s">
        <v>210</v>
      </c>
      <c r="M604" s="44" t="s">
        <v>906</v>
      </c>
    </row>
    <row r="605" spans="1:13" x14ac:dyDescent="0.35">
      <c r="A605" s="42">
        <v>1064</v>
      </c>
      <c r="B605" s="42" t="s">
        <v>136</v>
      </c>
      <c r="C605" s="42" t="s">
        <v>137</v>
      </c>
      <c r="D605" s="42" t="s">
        <v>159</v>
      </c>
      <c r="E605" s="42" t="s">
        <v>160</v>
      </c>
      <c r="F605" s="42" t="s">
        <v>160</v>
      </c>
      <c r="G605" s="42" t="s">
        <v>141</v>
      </c>
      <c r="H605" s="42" t="s">
        <v>150</v>
      </c>
      <c r="I605" s="42"/>
      <c r="J605" s="45" t="s">
        <v>147</v>
      </c>
      <c r="K605" s="42" t="s">
        <v>484</v>
      </c>
      <c r="L605" s="42" t="s">
        <v>484</v>
      </c>
      <c r="M605" s="44" t="s">
        <v>907</v>
      </c>
    </row>
    <row r="606" spans="1:13" x14ac:dyDescent="0.35">
      <c r="A606" s="42">
        <v>1064</v>
      </c>
      <c r="B606" s="42" t="s">
        <v>136</v>
      </c>
      <c r="C606" s="42" t="s">
        <v>137</v>
      </c>
      <c r="D606" s="42" t="s">
        <v>159</v>
      </c>
      <c r="E606" s="42" t="s">
        <v>160</v>
      </c>
      <c r="F606" s="42" t="s">
        <v>160</v>
      </c>
      <c r="G606" s="42" t="s">
        <v>141</v>
      </c>
      <c r="H606" s="42" t="s">
        <v>150</v>
      </c>
      <c r="I606" s="42"/>
      <c r="J606" s="45" t="s">
        <v>147</v>
      </c>
      <c r="K606" s="42" t="s">
        <v>196</v>
      </c>
      <c r="L606" s="42" t="s">
        <v>201</v>
      </c>
      <c r="M606" s="44" t="s">
        <v>908</v>
      </c>
    </row>
    <row r="607" spans="1:13" ht="25" x14ac:dyDescent="0.35">
      <c r="A607" s="42">
        <v>1064</v>
      </c>
      <c r="B607" s="42" t="s">
        <v>136</v>
      </c>
      <c r="C607" s="42" t="s">
        <v>137</v>
      </c>
      <c r="D607" s="42" t="s">
        <v>159</v>
      </c>
      <c r="E607" s="42" t="s">
        <v>160</v>
      </c>
      <c r="F607" s="42" t="s">
        <v>160</v>
      </c>
      <c r="G607" s="42" t="s">
        <v>141</v>
      </c>
      <c r="H607" s="42" t="s">
        <v>156</v>
      </c>
      <c r="I607" s="42"/>
      <c r="J607" s="43" t="s">
        <v>143</v>
      </c>
      <c r="K607" s="42" t="s">
        <v>193</v>
      </c>
      <c r="L607" s="42" t="s">
        <v>193</v>
      </c>
      <c r="M607" s="44" t="s">
        <v>909</v>
      </c>
    </row>
    <row r="608" spans="1:13" x14ac:dyDescent="0.35">
      <c r="A608" s="42">
        <v>1067</v>
      </c>
      <c r="B608" s="42" t="s">
        <v>136</v>
      </c>
      <c r="C608" s="42" t="s">
        <v>137</v>
      </c>
      <c r="D608" s="42" t="s">
        <v>159</v>
      </c>
      <c r="E608" s="42" t="s">
        <v>160</v>
      </c>
      <c r="F608" s="42" t="s">
        <v>160</v>
      </c>
      <c r="G608" s="42" t="s">
        <v>141</v>
      </c>
      <c r="H608" s="42" t="s">
        <v>177</v>
      </c>
      <c r="I608" s="42">
        <v>6</v>
      </c>
      <c r="J608" s="43" t="s">
        <v>143</v>
      </c>
      <c r="K608" s="42" t="s">
        <v>210</v>
      </c>
      <c r="L608" s="42" t="s">
        <v>210</v>
      </c>
      <c r="M608" s="44" t="s">
        <v>910</v>
      </c>
    </row>
    <row r="609" spans="1:13" x14ac:dyDescent="0.35">
      <c r="A609" s="42">
        <v>1067</v>
      </c>
      <c r="B609" s="42" t="s">
        <v>136</v>
      </c>
      <c r="C609" s="42" t="s">
        <v>137</v>
      </c>
      <c r="D609" s="42" t="s">
        <v>159</v>
      </c>
      <c r="E609" s="42" t="s">
        <v>160</v>
      </c>
      <c r="F609" s="42" t="s">
        <v>160</v>
      </c>
      <c r="G609" s="42" t="s">
        <v>141</v>
      </c>
      <c r="H609" s="42" t="s">
        <v>146</v>
      </c>
      <c r="I609" s="42">
        <v>7</v>
      </c>
      <c r="J609" s="46" t="s">
        <v>222</v>
      </c>
      <c r="K609" s="42" t="s">
        <v>196</v>
      </c>
      <c r="L609" s="42" t="s">
        <v>517</v>
      </c>
      <c r="M609" s="44" t="s">
        <v>911</v>
      </c>
    </row>
    <row r="610" spans="1:13" x14ac:dyDescent="0.35">
      <c r="A610" s="42">
        <v>1067</v>
      </c>
      <c r="B610" s="42" t="s">
        <v>136</v>
      </c>
      <c r="C610" s="42" t="s">
        <v>137</v>
      </c>
      <c r="D610" s="42" t="s">
        <v>159</v>
      </c>
      <c r="E610" s="42" t="s">
        <v>160</v>
      </c>
      <c r="F610" s="42" t="s">
        <v>160</v>
      </c>
      <c r="G610" s="42" t="s">
        <v>141</v>
      </c>
      <c r="H610" s="42" t="s">
        <v>150</v>
      </c>
      <c r="I610" s="42"/>
      <c r="J610" s="45" t="s">
        <v>147</v>
      </c>
      <c r="K610" s="42" t="s">
        <v>210</v>
      </c>
      <c r="L610" s="42" t="s">
        <v>210</v>
      </c>
      <c r="M610" s="44" t="s">
        <v>912</v>
      </c>
    </row>
    <row r="611" spans="1:13" x14ac:dyDescent="0.35">
      <c r="A611" s="42">
        <v>1067</v>
      </c>
      <c r="B611" s="42" t="s">
        <v>136</v>
      </c>
      <c r="C611" s="42" t="s">
        <v>137</v>
      </c>
      <c r="D611" s="42" t="s">
        <v>159</v>
      </c>
      <c r="E611" s="42" t="s">
        <v>160</v>
      </c>
      <c r="F611" s="42" t="s">
        <v>160</v>
      </c>
      <c r="G611" s="42" t="s">
        <v>141</v>
      </c>
      <c r="H611" s="42" t="s">
        <v>150</v>
      </c>
      <c r="I611" s="42"/>
      <c r="J611" s="45" t="s">
        <v>147</v>
      </c>
      <c r="K611" s="42" t="s">
        <v>196</v>
      </c>
      <c r="L611" s="42" t="s">
        <v>196</v>
      </c>
      <c r="M611" s="44" t="s">
        <v>913</v>
      </c>
    </row>
    <row r="612" spans="1:13" x14ac:dyDescent="0.35">
      <c r="A612" s="42">
        <v>1067</v>
      </c>
      <c r="B612" s="42" t="s">
        <v>136</v>
      </c>
      <c r="C612" s="42" t="s">
        <v>137</v>
      </c>
      <c r="D612" s="42" t="s">
        <v>159</v>
      </c>
      <c r="E612" s="42" t="s">
        <v>160</v>
      </c>
      <c r="F612" s="42" t="s">
        <v>160</v>
      </c>
      <c r="G612" s="42" t="s">
        <v>141</v>
      </c>
      <c r="H612" s="42" t="s">
        <v>150</v>
      </c>
      <c r="I612" s="42"/>
      <c r="J612" s="45" t="s">
        <v>147</v>
      </c>
      <c r="K612" s="42" t="s">
        <v>78</v>
      </c>
      <c r="L612" s="42" t="s">
        <v>78</v>
      </c>
      <c r="M612" s="44" t="s">
        <v>914</v>
      </c>
    </row>
    <row r="613" spans="1:13" x14ac:dyDescent="0.35">
      <c r="A613" s="42">
        <v>1067</v>
      </c>
      <c r="B613" s="42" t="s">
        <v>136</v>
      </c>
      <c r="C613" s="42" t="s">
        <v>137</v>
      </c>
      <c r="D613" s="42" t="s">
        <v>159</v>
      </c>
      <c r="E613" s="42" t="s">
        <v>160</v>
      </c>
      <c r="F613" s="42" t="s">
        <v>160</v>
      </c>
      <c r="G613" s="42" t="s">
        <v>141</v>
      </c>
      <c r="H613" s="42" t="s">
        <v>156</v>
      </c>
      <c r="I613" s="42"/>
      <c r="J613" s="43" t="s">
        <v>143</v>
      </c>
      <c r="K613" s="42" t="s">
        <v>196</v>
      </c>
      <c r="L613" s="42" t="s">
        <v>196</v>
      </c>
      <c r="M613" s="44" t="s">
        <v>915</v>
      </c>
    </row>
    <row r="614" spans="1:13" x14ac:dyDescent="0.35">
      <c r="A614" s="42">
        <v>1067</v>
      </c>
      <c r="B614" s="42" t="s">
        <v>136</v>
      </c>
      <c r="C614" s="42" t="s">
        <v>137</v>
      </c>
      <c r="D614" s="42" t="s">
        <v>159</v>
      </c>
      <c r="E614" s="42" t="s">
        <v>160</v>
      </c>
      <c r="F614" s="42" t="s">
        <v>160</v>
      </c>
      <c r="G614" s="42" t="s">
        <v>141</v>
      </c>
      <c r="H614" s="42" t="s">
        <v>156</v>
      </c>
      <c r="I614" s="42"/>
      <c r="J614" s="43" t="s">
        <v>143</v>
      </c>
      <c r="K614" s="42" t="s">
        <v>210</v>
      </c>
      <c r="L614" s="42" t="s">
        <v>210</v>
      </c>
      <c r="M614" s="44" t="s">
        <v>916</v>
      </c>
    </row>
    <row r="615" spans="1:13" x14ac:dyDescent="0.35">
      <c r="A615" s="42">
        <v>1067</v>
      </c>
      <c r="B615" s="42" t="s">
        <v>136</v>
      </c>
      <c r="C615" s="42" t="s">
        <v>137</v>
      </c>
      <c r="D615" s="42" t="s">
        <v>159</v>
      </c>
      <c r="E615" s="42" t="s">
        <v>160</v>
      </c>
      <c r="F615" s="42" t="s">
        <v>160</v>
      </c>
      <c r="G615" s="42" t="s">
        <v>141</v>
      </c>
      <c r="H615" s="42" t="s">
        <v>156</v>
      </c>
      <c r="I615" s="42"/>
      <c r="J615" s="43" t="s">
        <v>143</v>
      </c>
      <c r="K615" s="42" t="s">
        <v>76</v>
      </c>
      <c r="L615" s="42" t="s">
        <v>552</v>
      </c>
      <c r="M615" s="44" t="s">
        <v>917</v>
      </c>
    </row>
    <row r="616" spans="1:13" ht="62.5" x14ac:dyDescent="0.35">
      <c r="A616" s="42">
        <v>1175</v>
      </c>
      <c r="B616" s="42" t="s">
        <v>136</v>
      </c>
      <c r="C616" s="42" t="s">
        <v>137</v>
      </c>
      <c r="D616" s="42" t="s">
        <v>176</v>
      </c>
      <c r="E616" s="42" t="s">
        <v>160</v>
      </c>
      <c r="F616" s="42" t="s">
        <v>160</v>
      </c>
      <c r="G616" s="42" t="s">
        <v>200</v>
      </c>
      <c r="H616" s="42" t="s">
        <v>177</v>
      </c>
      <c r="I616" s="42">
        <v>4</v>
      </c>
      <c r="J616" s="43" t="s">
        <v>143</v>
      </c>
      <c r="K616" s="42" t="s">
        <v>144</v>
      </c>
      <c r="L616" s="42" t="s">
        <v>918</v>
      </c>
      <c r="M616" s="44" t="s">
        <v>919</v>
      </c>
    </row>
    <row r="617" spans="1:13" x14ac:dyDescent="0.35">
      <c r="A617" s="42">
        <v>1175</v>
      </c>
      <c r="B617" s="42" t="s">
        <v>136</v>
      </c>
      <c r="C617" s="42" t="s">
        <v>137</v>
      </c>
      <c r="D617" s="42" t="s">
        <v>176</v>
      </c>
      <c r="E617" s="42" t="s">
        <v>160</v>
      </c>
      <c r="F617" s="42" t="s">
        <v>160</v>
      </c>
      <c r="G617" s="42" t="s">
        <v>200</v>
      </c>
      <c r="H617" s="42" t="s">
        <v>166</v>
      </c>
      <c r="I617" s="42">
        <v>4</v>
      </c>
      <c r="J617" s="43" t="s">
        <v>143</v>
      </c>
      <c r="K617" s="42" t="s">
        <v>50</v>
      </c>
      <c r="L617" s="42" t="s">
        <v>348</v>
      </c>
      <c r="M617" s="44" t="s">
        <v>920</v>
      </c>
    </row>
    <row r="618" spans="1:13" ht="50" x14ac:dyDescent="0.35">
      <c r="A618" s="42">
        <v>1175</v>
      </c>
      <c r="B618" s="42" t="s">
        <v>136</v>
      </c>
      <c r="C618" s="42" t="s">
        <v>137</v>
      </c>
      <c r="D618" s="42" t="s">
        <v>176</v>
      </c>
      <c r="E618" s="42" t="s">
        <v>160</v>
      </c>
      <c r="F618" s="42" t="s">
        <v>160</v>
      </c>
      <c r="G618" s="42" t="s">
        <v>200</v>
      </c>
      <c r="H618" s="42" t="s">
        <v>180</v>
      </c>
      <c r="I618" s="42">
        <v>6</v>
      </c>
      <c r="J618" s="43" t="s">
        <v>143</v>
      </c>
      <c r="K618" s="42" t="s">
        <v>196</v>
      </c>
      <c r="L618" s="42" t="s">
        <v>450</v>
      </c>
      <c r="M618" s="44" t="s">
        <v>921</v>
      </c>
    </row>
    <row r="619" spans="1:13" ht="37.5" x14ac:dyDescent="0.35">
      <c r="A619" s="42">
        <v>1175</v>
      </c>
      <c r="B619" s="42" t="s">
        <v>136</v>
      </c>
      <c r="C619" s="42" t="s">
        <v>137</v>
      </c>
      <c r="D619" s="42" t="s">
        <v>176</v>
      </c>
      <c r="E619" s="42" t="s">
        <v>160</v>
      </c>
      <c r="F619" s="42" t="s">
        <v>160</v>
      </c>
      <c r="G619" s="42" t="s">
        <v>200</v>
      </c>
      <c r="H619" s="42" t="s">
        <v>146</v>
      </c>
      <c r="I619" s="42">
        <v>7</v>
      </c>
      <c r="J619" s="46" t="s">
        <v>222</v>
      </c>
      <c r="K619" s="42" t="s">
        <v>78</v>
      </c>
      <c r="L619" s="42" t="s">
        <v>620</v>
      </c>
      <c r="M619" s="44" t="s">
        <v>922</v>
      </c>
    </row>
    <row r="620" spans="1:13" x14ac:dyDescent="0.35">
      <c r="A620" s="42">
        <v>1175</v>
      </c>
      <c r="B620" s="42" t="s">
        <v>136</v>
      </c>
      <c r="C620" s="42" t="s">
        <v>137</v>
      </c>
      <c r="D620" s="42" t="s">
        <v>176</v>
      </c>
      <c r="E620" s="42" t="s">
        <v>160</v>
      </c>
      <c r="F620" s="42" t="s">
        <v>160</v>
      </c>
      <c r="G620" s="42" t="s">
        <v>200</v>
      </c>
      <c r="H620" s="42" t="s">
        <v>150</v>
      </c>
      <c r="I620" s="42"/>
      <c r="J620" s="45" t="s">
        <v>147</v>
      </c>
      <c r="K620" s="42" t="s">
        <v>210</v>
      </c>
      <c r="L620" s="42" t="s">
        <v>210</v>
      </c>
      <c r="M620" s="44" t="s">
        <v>923</v>
      </c>
    </row>
    <row r="621" spans="1:13" x14ac:dyDescent="0.35">
      <c r="A621" s="42">
        <v>1175</v>
      </c>
      <c r="B621" s="42" t="s">
        <v>136</v>
      </c>
      <c r="C621" s="42" t="s">
        <v>137</v>
      </c>
      <c r="D621" s="42" t="s">
        <v>176</v>
      </c>
      <c r="E621" s="42" t="s">
        <v>160</v>
      </c>
      <c r="F621" s="42" t="s">
        <v>160</v>
      </c>
      <c r="G621" s="42" t="s">
        <v>200</v>
      </c>
      <c r="H621" s="42" t="s">
        <v>150</v>
      </c>
      <c r="I621" s="42"/>
      <c r="J621" s="45" t="s">
        <v>147</v>
      </c>
      <c r="K621" s="42" t="s">
        <v>190</v>
      </c>
      <c r="L621" s="42" t="s">
        <v>190</v>
      </c>
      <c r="M621" s="44" t="s">
        <v>924</v>
      </c>
    </row>
    <row r="622" spans="1:13" x14ac:dyDescent="0.35">
      <c r="A622" s="42">
        <v>1175</v>
      </c>
      <c r="B622" s="42" t="s">
        <v>136</v>
      </c>
      <c r="C622" s="42" t="s">
        <v>137</v>
      </c>
      <c r="D622" s="42" t="s">
        <v>176</v>
      </c>
      <c r="E622" s="42" t="s">
        <v>160</v>
      </c>
      <c r="F622" s="42" t="s">
        <v>160</v>
      </c>
      <c r="G622" s="42" t="s">
        <v>200</v>
      </c>
      <c r="H622" s="42" t="s">
        <v>150</v>
      </c>
      <c r="I622" s="42"/>
      <c r="J622" s="45" t="s">
        <v>147</v>
      </c>
      <c r="K622" s="42" t="s">
        <v>190</v>
      </c>
      <c r="L622" s="42" t="s">
        <v>190</v>
      </c>
      <c r="M622" s="44" t="s">
        <v>925</v>
      </c>
    </row>
    <row r="623" spans="1:13" x14ac:dyDescent="0.35">
      <c r="A623" s="42">
        <v>1175</v>
      </c>
      <c r="B623" s="42" t="s">
        <v>136</v>
      </c>
      <c r="C623" s="42" t="s">
        <v>137</v>
      </c>
      <c r="D623" s="42" t="s">
        <v>176</v>
      </c>
      <c r="E623" s="42" t="s">
        <v>160</v>
      </c>
      <c r="F623" s="42" t="s">
        <v>160</v>
      </c>
      <c r="G623" s="42" t="s">
        <v>200</v>
      </c>
      <c r="H623" s="42" t="s">
        <v>156</v>
      </c>
      <c r="I623" s="42"/>
      <c r="J623" s="43" t="s">
        <v>143</v>
      </c>
      <c r="K623" s="42" t="s">
        <v>78</v>
      </c>
      <c r="L623" s="42" t="s">
        <v>78</v>
      </c>
      <c r="M623" s="44" t="s">
        <v>926</v>
      </c>
    </row>
    <row r="624" spans="1:13" x14ac:dyDescent="0.35">
      <c r="A624" s="42">
        <v>1175</v>
      </c>
      <c r="B624" s="42" t="s">
        <v>136</v>
      </c>
      <c r="C624" s="42" t="s">
        <v>137</v>
      </c>
      <c r="D624" s="42" t="s">
        <v>176</v>
      </c>
      <c r="E624" s="42" t="s">
        <v>160</v>
      </c>
      <c r="F624" s="42" t="s">
        <v>160</v>
      </c>
      <c r="G624" s="42" t="s">
        <v>200</v>
      </c>
      <c r="H624" s="42" t="s">
        <v>156</v>
      </c>
      <c r="I624" s="42"/>
      <c r="J624" s="43" t="s">
        <v>143</v>
      </c>
      <c r="K624" s="42" t="s">
        <v>144</v>
      </c>
      <c r="L624" s="42" t="s">
        <v>144</v>
      </c>
      <c r="M624" s="44" t="s">
        <v>927</v>
      </c>
    </row>
    <row r="625" spans="1:13" ht="25" x14ac:dyDescent="0.35">
      <c r="A625" s="42">
        <v>1080</v>
      </c>
      <c r="B625" s="42" t="s">
        <v>175</v>
      </c>
      <c r="C625" s="42" t="s">
        <v>137</v>
      </c>
      <c r="D625" s="42" t="s">
        <v>159</v>
      </c>
      <c r="E625" s="42" t="s">
        <v>139</v>
      </c>
      <c r="F625" s="42" t="s">
        <v>140</v>
      </c>
      <c r="G625" s="42" t="s">
        <v>141</v>
      </c>
      <c r="H625" s="42" t="s">
        <v>142</v>
      </c>
      <c r="I625" s="42">
        <v>5</v>
      </c>
      <c r="J625" s="43" t="s">
        <v>143</v>
      </c>
      <c r="K625" s="42" t="s">
        <v>144</v>
      </c>
      <c r="L625" s="42" t="s">
        <v>346</v>
      </c>
      <c r="M625" s="44" t="s">
        <v>928</v>
      </c>
    </row>
    <row r="626" spans="1:13" ht="25" x14ac:dyDescent="0.35">
      <c r="A626" s="42">
        <v>1080</v>
      </c>
      <c r="B626" s="42" t="s">
        <v>175</v>
      </c>
      <c r="C626" s="42" t="s">
        <v>137</v>
      </c>
      <c r="D626" s="42" t="s">
        <v>159</v>
      </c>
      <c r="E626" s="42" t="s">
        <v>139</v>
      </c>
      <c r="F626" s="42" t="s">
        <v>140</v>
      </c>
      <c r="G626" s="42" t="s">
        <v>141</v>
      </c>
      <c r="H626" s="42" t="s">
        <v>177</v>
      </c>
      <c r="I626" s="42">
        <v>6</v>
      </c>
      <c r="J626" s="43" t="s">
        <v>143</v>
      </c>
      <c r="K626" s="42" t="s">
        <v>53</v>
      </c>
      <c r="L626" s="42" t="s">
        <v>929</v>
      </c>
      <c r="M626" s="44" t="s">
        <v>930</v>
      </c>
    </row>
    <row r="627" spans="1:13" ht="37.5" x14ac:dyDescent="0.35">
      <c r="A627" s="42">
        <v>1080</v>
      </c>
      <c r="B627" s="42" t="s">
        <v>175</v>
      </c>
      <c r="C627" s="42" t="s">
        <v>137</v>
      </c>
      <c r="D627" s="42" t="s">
        <v>159</v>
      </c>
      <c r="E627" s="42" t="s">
        <v>139</v>
      </c>
      <c r="F627" s="42" t="s">
        <v>140</v>
      </c>
      <c r="G627" s="42" t="s">
        <v>141</v>
      </c>
      <c r="H627" s="42" t="s">
        <v>166</v>
      </c>
      <c r="I627" s="42">
        <v>4</v>
      </c>
      <c r="J627" s="43" t="s">
        <v>143</v>
      </c>
      <c r="K627" s="42" t="s">
        <v>50</v>
      </c>
      <c r="L627" s="42" t="s">
        <v>931</v>
      </c>
      <c r="M627" s="44" t="s">
        <v>932</v>
      </c>
    </row>
    <row r="628" spans="1:13" ht="25" x14ac:dyDescent="0.35">
      <c r="A628" s="42">
        <v>1080</v>
      </c>
      <c r="B628" s="42" t="s">
        <v>175</v>
      </c>
      <c r="C628" s="42" t="s">
        <v>137</v>
      </c>
      <c r="D628" s="42" t="s">
        <v>159</v>
      </c>
      <c r="E628" s="42" t="s">
        <v>139</v>
      </c>
      <c r="F628" s="42" t="s">
        <v>140</v>
      </c>
      <c r="G628" s="42" t="s">
        <v>141</v>
      </c>
      <c r="H628" s="42" t="s">
        <v>180</v>
      </c>
      <c r="I628" s="42">
        <v>5</v>
      </c>
      <c r="J628" s="43" t="s">
        <v>143</v>
      </c>
      <c r="K628" s="42" t="s">
        <v>262</v>
      </c>
      <c r="L628" s="42" t="s">
        <v>933</v>
      </c>
      <c r="M628" s="44" t="s">
        <v>934</v>
      </c>
    </row>
    <row r="629" spans="1:13" ht="25" x14ac:dyDescent="0.35">
      <c r="A629" s="42">
        <v>1080</v>
      </c>
      <c r="B629" s="42" t="s">
        <v>175</v>
      </c>
      <c r="C629" s="42" t="s">
        <v>137</v>
      </c>
      <c r="D629" s="42" t="s">
        <v>159</v>
      </c>
      <c r="E629" s="42" t="s">
        <v>139</v>
      </c>
      <c r="F629" s="42" t="s">
        <v>140</v>
      </c>
      <c r="G629" s="42" t="s">
        <v>141</v>
      </c>
      <c r="H629" s="42" t="s">
        <v>183</v>
      </c>
      <c r="I629" s="42">
        <v>6</v>
      </c>
      <c r="J629" s="43" t="s">
        <v>143</v>
      </c>
      <c r="K629" s="42" t="s">
        <v>196</v>
      </c>
      <c r="L629" s="42" t="s">
        <v>252</v>
      </c>
      <c r="M629" s="44" t="s">
        <v>935</v>
      </c>
    </row>
    <row r="630" spans="1:13" ht="25" x14ac:dyDescent="0.35">
      <c r="A630" s="42">
        <v>1080</v>
      </c>
      <c r="B630" s="42" t="s">
        <v>175</v>
      </c>
      <c r="C630" s="42" t="s">
        <v>137</v>
      </c>
      <c r="D630" s="42" t="s">
        <v>159</v>
      </c>
      <c r="E630" s="42" t="s">
        <v>139</v>
      </c>
      <c r="F630" s="42" t="s">
        <v>140</v>
      </c>
      <c r="G630" s="42" t="s">
        <v>141</v>
      </c>
      <c r="H630" s="42" t="s">
        <v>146</v>
      </c>
      <c r="I630" s="42">
        <v>7</v>
      </c>
      <c r="J630" s="46" t="s">
        <v>222</v>
      </c>
      <c r="K630" s="42" t="s">
        <v>210</v>
      </c>
      <c r="L630" s="42" t="s">
        <v>210</v>
      </c>
      <c r="M630" s="44" t="s">
        <v>936</v>
      </c>
    </row>
    <row r="631" spans="1:13" x14ac:dyDescent="0.35">
      <c r="A631" s="42">
        <v>1080</v>
      </c>
      <c r="B631" s="42" t="s">
        <v>175</v>
      </c>
      <c r="C631" s="42" t="s">
        <v>137</v>
      </c>
      <c r="D631" s="42" t="s">
        <v>159</v>
      </c>
      <c r="E631" s="42" t="s">
        <v>139</v>
      </c>
      <c r="F631" s="42" t="s">
        <v>140</v>
      </c>
      <c r="G631" s="42" t="s">
        <v>141</v>
      </c>
      <c r="H631" s="42" t="s">
        <v>150</v>
      </c>
      <c r="I631" s="42"/>
      <c r="J631" s="45" t="s">
        <v>147</v>
      </c>
      <c r="K631" s="42" t="s">
        <v>144</v>
      </c>
      <c r="L631" s="42" t="s">
        <v>144</v>
      </c>
      <c r="M631" s="44" t="s">
        <v>937</v>
      </c>
    </row>
    <row r="632" spans="1:13" x14ac:dyDescent="0.35">
      <c r="A632" s="42">
        <v>1080</v>
      </c>
      <c r="B632" s="42" t="s">
        <v>175</v>
      </c>
      <c r="C632" s="42" t="s">
        <v>137</v>
      </c>
      <c r="D632" s="42" t="s">
        <v>159</v>
      </c>
      <c r="E632" s="42" t="s">
        <v>139</v>
      </c>
      <c r="F632" s="42" t="s">
        <v>140</v>
      </c>
      <c r="G632" s="42" t="s">
        <v>141</v>
      </c>
      <c r="H632" s="42" t="s">
        <v>150</v>
      </c>
      <c r="I632" s="42"/>
      <c r="J632" s="45" t="s">
        <v>147</v>
      </c>
      <c r="K632" s="42" t="s">
        <v>190</v>
      </c>
      <c r="L632" s="42" t="s">
        <v>190</v>
      </c>
      <c r="M632" s="44" t="s">
        <v>938</v>
      </c>
    </row>
    <row r="633" spans="1:13" x14ac:dyDescent="0.35">
      <c r="A633" s="42">
        <v>1080</v>
      </c>
      <c r="B633" s="42" t="s">
        <v>175</v>
      </c>
      <c r="C633" s="42" t="s">
        <v>137</v>
      </c>
      <c r="D633" s="42" t="s">
        <v>159</v>
      </c>
      <c r="E633" s="42" t="s">
        <v>139</v>
      </c>
      <c r="F633" s="42" t="s">
        <v>140</v>
      </c>
      <c r="G633" s="42" t="s">
        <v>141</v>
      </c>
      <c r="H633" s="42" t="s">
        <v>150</v>
      </c>
      <c r="I633" s="42"/>
      <c r="J633" s="45" t="s">
        <v>147</v>
      </c>
      <c r="K633" s="42" t="s">
        <v>305</v>
      </c>
      <c r="L633" s="42" t="s">
        <v>939</v>
      </c>
      <c r="M633" s="44" t="s">
        <v>940</v>
      </c>
    </row>
    <row r="634" spans="1:13" x14ac:dyDescent="0.35">
      <c r="A634" s="42">
        <v>1080</v>
      </c>
      <c r="B634" s="42" t="s">
        <v>175</v>
      </c>
      <c r="C634" s="42" t="s">
        <v>137</v>
      </c>
      <c r="D634" s="42" t="s">
        <v>159</v>
      </c>
      <c r="E634" s="42" t="s">
        <v>139</v>
      </c>
      <c r="F634" s="42" t="s">
        <v>140</v>
      </c>
      <c r="G634" s="42" t="s">
        <v>141</v>
      </c>
      <c r="H634" s="42" t="s">
        <v>156</v>
      </c>
      <c r="I634" s="42"/>
      <c r="J634" s="43" t="s">
        <v>143</v>
      </c>
      <c r="K634" s="42" t="s">
        <v>144</v>
      </c>
      <c r="L634" s="42" t="s">
        <v>144</v>
      </c>
      <c r="M634" s="44" t="s">
        <v>941</v>
      </c>
    </row>
    <row r="635" spans="1:13" x14ac:dyDescent="0.35">
      <c r="A635" s="42">
        <v>1080</v>
      </c>
      <c r="B635" s="42" t="s">
        <v>175</v>
      </c>
      <c r="C635" s="42" t="s">
        <v>137</v>
      </c>
      <c r="D635" s="42" t="s">
        <v>159</v>
      </c>
      <c r="E635" s="42" t="s">
        <v>139</v>
      </c>
      <c r="F635" s="42" t="s">
        <v>140</v>
      </c>
      <c r="G635" s="42" t="s">
        <v>141</v>
      </c>
      <c r="H635" s="42" t="s">
        <v>156</v>
      </c>
      <c r="I635" s="42"/>
      <c r="J635" s="43" t="s">
        <v>143</v>
      </c>
      <c r="K635" s="42" t="s">
        <v>196</v>
      </c>
      <c r="L635" s="42" t="s">
        <v>196</v>
      </c>
      <c r="M635" s="44" t="s">
        <v>942</v>
      </c>
    </row>
    <row r="636" spans="1:13" x14ac:dyDescent="0.35">
      <c r="A636" s="42">
        <v>1080</v>
      </c>
      <c r="B636" s="42" t="s">
        <v>175</v>
      </c>
      <c r="C636" s="42" t="s">
        <v>137</v>
      </c>
      <c r="D636" s="42" t="s">
        <v>159</v>
      </c>
      <c r="E636" s="42" t="s">
        <v>139</v>
      </c>
      <c r="F636" s="42" t="s">
        <v>140</v>
      </c>
      <c r="G636" s="42" t="s">
        <v>141</v>
      </c>
      <c r="H636" s="42" t="s">
        <v>156</v>
      </c>
      <c r="I636" s="42"/>
      <c r="J636" s="43" t="s">
        <v>143</v>
      </c>
      <c r="K636" s="42" t="s">
        <v>144</v>
      </c>
      <c r="L636" s="42" t="s">
        <v>144</v>
      </c>
      <c r="M636" s="44" t="s">
        <v>943</v>
      </c>
    </row>
    <row r="637" spans="1:13" ht="25" x14ac:dyDescent="0.35">
      <c r="A637" s="42">
        <v>1081</v>
      </c>
      <c r="B637" s="42" t="s">
        <v>136</v>
      </c>
      <c r="C637" s="42" t="s">
        <v>137</v>
      </c>
      <c r="D637" s="42" t="s">
        <v>219</v>
      </c>
      <c r="E637" s="42" t="s">
        <v>206</v>
      </c>
      <c r="F637" s="42" t="s">
        <v>206</v>
      </c>
      <c r="G637" s="42" t="s">
        <v>141</v>
      </c>
      <c r="H637" s="42" t="s">
        <v>180</v>
      </c>
      <c r="I637" s="42">
        <v>6</v>
      </c>
      <c r="J637" s="43" t="s">
        <v>143</v>
      </c>
      <c r="K637" s="42" t="s">
        <v>333</v>
      </c>
      <c r="L637" s="42" t="s">
        <v>603</v>
      </c>
      <c r="M637" s="44" t="s">
        <v>944</v>
      </c>
    </row>
    <row r="638" spans="1:13" x14ac:dyDescent="0.35">
      <c r="A638" s="42">
        <v>1081</v>
      </c>
      <c r="B638" s="42" t="s">
        <v>136</v>
      </c>
      <c r="C638" s="42" t="s">
        <v>137</v>
      </c>
      <c r="D638" s="42" t="s">
        <v>219</v>
      </c>
      <c r="E638" s="42" t="s">
        <v>206</v>
      </c>
      <c r="F638" s="42" t="s">
        <v>206</v>
      </c>
      <c r="G638" s="42" t="s">
        <v>141</v>
      </c>
      <c r="H638" s="42" t="s">
        <v>146</v>
      </c>
      <c r="I638" s="42">
        <v>9</v>
      </c>
      <c r="J638" s="45" t="s">
        <v>147</v>
      </c>
      <c r="K638" s="42" t="s">
        <v>190</v>
      </c>
      <c r="L638" s="42" t="s">
        <v>190</v>
      </c>
      <c r="M638" s="44" t="s">
        <v>945</v>
      </c>
    </row>
    <row r="639" spans="1:13" x14ac:dyDescent="0.35">
      <c r="A639" s="42">
        <v>1081</v>
      </c>
      <c r="B639" s="42" t="s">
        <v>136</v>
      </c>
      <c r="C639" s="42" t="s">
        <v>137</v>
      </c>
      <c r="D639" s="42" t="s">
        <v>219</v>
      </c>
      <c r="E639" s="42" t="s">
        <v>206</v>
      </c>
      <c r="F639" s="42" t="s">
        <v>206</v>
      </c>
      <c r="G639" s="42" t="s">
        <v>141</v>
      </c>
      <c r="H639" s="42" t="s">
        <v>150</v>
      </c>
      <c r="I639" s="42"/>
      <c r="J639" s="45" t="s">
        <v>147</v>
      </c>
      <c r="K639" s="42" t="s">
        <v>210</v>
      </c>
      <c r="L639" s="42" t="s">
        <v>210</v>
      </c>
      <c r="M639" s="44" t="s">
        <v>946</v>
      </c>
    </row>
    <row r="640" spans="1:13" x14ac:dyDescent="0.35">
      <c r="A640" s="42">
        <v>1081</v>
      </c>
      <c r="B640" s="42" t="s">
        <v>136</v>
      </c>
      <c r="C640" s="42" t="s">
        <v>137</v>
      </c>
      <c r="D640" s="42" t="s">
        <v>219</v>
      </c>
      <c r="E640" s="42" t="s">
        <v>206</v>
      </c>
      <c r="F640" s="42" t="s">
        <v>206</v>
      </c>
      <c r="G640" s="42" t="s">
        <v>141</v>
      </c>
      <c r="H640" s="42" t="s">
        <v>150</v>
      </c>
      <c r="I640" s="42"/>
      <c r="J640" s="45" t="s">
        <v>147</v>
      </c>
      <c r="K640" s="42" t="s">
        <v>76</v>
      </c>
      <c r="L640" s="42" t="s">
        <v>76</v>
      </c>
      <c r="M640" s="44" t="s">
        <v>371</v>
      </c>
    </row>
    <row r="641" spans="1:13" x14ac:dyDescent="0.35">
      <c r="A641" s="42">
        <v>1081</v>
      </c>
      <c r="B641" s="42" t="s">
        <v>136</v>
      </c>
      <c r="C641" s="42" t="s">
        <v>137</v>
      </c>
      <c r="D641" s="42" t="s">
        <v>219</v>
      </c>
      <c r="E641" s="42" t="s">
        <v>206</v>
      </c>
      <c r="F641" s="42" t="s">
        <v>206</v>
      </c>
      <c r="G641" s="42" t="s">
        <v>141</v>
      </c>
      <c r="H641" s="42" t="s">
        <v>156</v>
      </c>
      <c r="I641" s="42"/>
      <c r="J641" s="43" t="s">
        <v>143</v>
      </c>
      <c r="K641" s="42" t="s">
        <v>268</v>
      </c>
      <c r="L641" s="42" t="s">
        <v>515</v>
      </c>
      <c r="M641" s="44" t="s">
        <v>947</v>
      </c>
    </row>
    <row r="642" spans="1:13" x14ac:dyDescent="0.35">
      <c r="A642" s="42">
        <v>1081</v>
      </c>
      <c r="B642" s="42" t="s">
        <v>136</v>
      </c>
      <c r="C642" s="42" t="s">
        <v>137</v>
      </c>
      <c r="D642" s="42" t="s">
        <v>219</v>
      </c>
      <c r="E642" s="42" t="s">
        <v>206</v>
      </c>
      <c r="F642" s="42" t="s">
        <v>206</v>
      </c>
      <c r="G642" s="42" t="s">
        <v>141</v>
      </c>
      <c r="H642" s="42" t="s">
        <v>156</v>
      </c>
      <c r="I642" s="42"/>
      <c r="J642" s="43" t="s">
        <v>143</v>
      </c>
      <c r="K642" s="42" t="s">
        <v>190</v>
      </c>
      <c r="L642" s="42" t="s">
        <v>190</v>
      </c>
      <c r="M642" s="44" t="s">
        <v>948</v>
      </c>
    </row>
    <row r="643" spans="1:13" x14ac:dyDescent="0.35">
      <c r="A643" s="42">
        <v>1179</v>
      </c>
      <c r="B643" s="42" t="s">
        <v>136</v>
      </c>
      <c r="C643" s="42" t="s">
        <v>137</v>
      </c>
      <c r="D643" s="42" t="s">
        <v>159</v>
      </c>
      <c r="E643" s="42" t="s">
        <v>160</v>
      </c>
      <c r="F643" s="42" t="s">
        <v>160</v>
      </c>
      <c r="G643" s="42" t="s">
        <v>141</v>
      </c>
      <c r="H643" s="42" t="s">
        <v>146</v>
      </c>
      <c r="I643" s="42">
        <v>7</v>
      </c>
      <c r="J643" s="46" t="s">
        <v>222</v>
      </c>
      <c r="K643" s="42" t="s">
        <v>210</v>
      </c>
      <c r="L643" s="42" t="s">
        <v>210</v>
      </c>
      <c r="M643" s="44" t="s">
        <v>949</v>
      </c>
    </row>
    <row r="644" spans="1:13" x14ac:dyDescent="0.35">
      <c r="A644" s="42">
        <v>1179</v>
      </c>
      <c r="B644" s="42" t="s">
        <v>136</v>
      </c>
      <c r="C644" s="42" t="s">
        <v>137</v>
      </c>
      <c r="D644" s="42" t="s">
        <v>159</v>
      </c>
      <c r="E644" s="42" t="s">
        <v>160</v>
      </c>
      <c r="F644" s="42" t="s">
        <v>160</v>
      </c>
      <c r="G644" s="42" t="s">
        <v>141</v>
      </c>
      <c r="H644" s="42" t="s">
        <v>150</v>
      </c>
      <c r="I644" s="42"/>
      <c r="J644" s="45" t="s">
        <v>147</v>
      </c>
      <c r="K644" s="42" t="s">
        <v>78</v>
      </c>
      <c r="L644" s="42" t="s">
        <v>78</v>
      </c>
      <c r="M644" s="44" t="s">
        <v>950</v>
      </c>
    </row>
    <row r="645" spans="1:13" ht="25" x14ac:dyDescent="0.35">
      <c r="A645" s="42">
        <v>1179</v>
      </c>
      <c r="B645" s="42" t="s">
        <v>136</v>
      </c>
      <c r="C645" s="42" t="s">
        <v>137</v>
      </c>
      <c r="D645" s="42" t="s">
        <v>159</v>
      </c>
      <c r="E645" s="42" t="s">
        <v>160</v>
      </c>
      <c r="F645" s="42" t="s">
        <v>160</v>
      </c>
      <c r="G645" s="42" t="s">
        <v>141</v>
      </c>
      <c r="H645" s="42" t="s">
        <v>156</v>
      </c>
      <c r="I645" s="42"/>
      <c r="J645" s="43" t="s">
        <v>143</v>
      </c>
      <c r="K645" s="42" t="s">
        <v>196</v>
      </c>
      <c r="L645" s="42" t="s">
        <v>196</v>
      </c>
      <c r="M645" s="44" t="s">
        <v>951</v>
      </c>
    </row>
    <row r="646" spans="1:13" ht="25" x14ac:dyDescent="0.35">
      <c r="A646" s="42">
        <v>1220</v>
      </c>
      <c r="B646" s="42" t="s">
        <v>136</v>
      </c>
      <c r="C646" s="42" t="s">
        <v>199</v>
      </c>
      <c r="D646" s="42" t="s">
        <v>176</v>
      </c>
      <c r="E646" s="42" t="s">
        <v>160</v>
      </c>
      <c r="F646" s="42" t="s">
        <v>160</v>
      </c>
      <c r="G646" s="42" t="s">
        <v>200</v>
      </c>
      <c r="H646" s="42" t="s">
        <v>180</v>
      </c>
      <c r="I646" s="42">
        <v>6</v>
      </c>
      <c r="J646" s="43" t="s">
        <v>143</v>
      </c>
      <c r="K646" s="42" t="s">
        <v>196</v>
      </c>
      <c r="L646" s="42" t="s">
        <v>196</v>
      </c>
      <c r="M646" s="44" t="s">
        <v>952</v>
      </c>
    </row>
    <row r="647" spans="1:13" ht="25" x14ac:dyDescent="0.35">
      <c r="A647" s="42">
        <v>1220</v>
      </c>
      <c r="B647" s="42" t="s">
        <v>136</v>
      </c>
      <c r="C647" s="42" t="s">
        <v>199</v>
      </c>
      <c r="D647" s="42" t="s">
        <v>176</v>
      </c>
      <c r="E647" s="42" t="s">
        <v>160</v>
      </c>
      <c r="F647" s="42" t="s">
        <v>160</v>
      </c>
      <c r="G647" s="42" t="s">
        <v>200</v>
      </c>
      <c r="H647" s="42" t="s">
        <v>146</v>
      </c>
      <c r="I647" s="42">
        <v>7</v>
      </c>
      <c r="J647" s="46" t="s">
        <v>222</v>
      </c>
      <c r="K647" s="42" t="s">
        <v>76</v>
      </c>
      <c r="L647" s="42" t="s">
        <v>953</v>
      </c>
      <c r="M647" s="44" t="s">
        <v>954</v>
      </c>
    </row>
    <row r="648" spans="1:13" x14ac:dyDescent="0.35">
      <c r="A648" s="42">
        <v>1220</v>
      </c>
      <c r="B648" s="42" t="s">
        <v>136</v>
      </c>
      <c r="C648" s="42" t="s">
        <v>199</v>
      </c>
      <c r="D648" s="42" t="s">
        <v>176</v>
      </c>
      <c r="E648" s="42" t="s">
        <v>160</v>
      </c>
      <c r="F648" s="42" t="s">
        <v>160</v>
      </c>
      <c r="G648" s="42" t="s">
        <v>200</v>
      </c>
      <c r="H648" s="42" t="s">
        <v>150</v>
      </c>
      <c r="I648" s="42"/>
      <c r="J648" s="45" t="s">
        <v>147</v>
      </c>
      <c r="K648" s="42" t="s">
        <v>80</v>
      </c>
      <c r="L648" s="42" t="s">
        <v>80</v>
      </c>
      <c r="M648" s="44" t="s">
        <v>955</v>
      </c>
    </row>
    <row r="649" spans="1:13" x14ac:dyDescent="0.35">
      <c r="A649" s="42">
        <v>1220</v>
      </c>
      <c r="B649" s="42" t="s">
        <v>136</v>
      </c>
      <c r="C649" s="42" t="s">
        <v>199</v>
      </c>
      <c r="D649" s="42" t="s">
        <v>176</v>
      </c>
      <c r="E649" s="42" t="s">
        <v>160</v>
      </c>
      <c r="F649" s="42" t="s">
        <v>160</v>
      </c>
      <c r="G649" s="42" t="s">
        <v>200</v>
      </c>
      <c r="H649" s="42" t="s">
        <v>150</v>
      </c>
      <c r="I649" s="42"/>
      <c r="J649" s="45" t="s">
        <v>147</v>
      </c>
      <c r="K649" s="42" t="s">
        <v>80</v>
      </c>
      <c r="L649" s="42" t="s">
        <v>80</v>
      </c>
      <c r="M649" s="44" t="s">
        <v>956</v>
      </c>
    </row>
    <row r="650" spans="1:13" x14ac:dyDescent="0.35">
      <c r="A650" s="42">
        <v>1220</v>
      </c>
      <c r="B650" s="42" t="s">
        <v>136</v>
      </c>
      <c r="C650" s="42" t="s">
        <v>199</v>
      </c>
      <c r="D650" s="42" t="s">
        <v>176</v>
      </c>
      <c r="E650" s="42" t="s">
        <v>160</v>
      </c>
      <c r="F650" s="42" t="s">
        <v>160</v>
      </c>
      <c r="G650" s="42" t="s">
        <v>200</v>
      </c>
      <c r="H650" s="42" t="s">
        <v>150</v>
      </c>
      <c r="I650" s="42"/>
      <c r="J650" s="45" t="s">
        <v>147</v>
      </c>
      <c r="K650" s="42" t="s">
        <v>80</v>
      </c>
      <c r="L650" s="42" t="s">
        <v>80</v>
      </c>
      <c r="M650" s="44" t="s">
        <v>957</v>
      </c>
    </row>
    <row r="651" spans="1:13" x14ac:dyDescent="0.35">
      <c r="A651" s="42">
        <v>1220</v>
      </c>
      <c r="B651" s="42" t="s">
        <v>136</v>
      </c>
      <c r="C651" s="42" t="s">
        <v>199</v>
      </c>
      <c r="D651" s="42" t="s">
        <v>176</v>
      </c>
      <c r="E651" s="42" t="s">
        <v>160</v>
      </c>
      <c r="F651" s="42" t="s">
        <v>160</v>
      </c>
      <c r="G651" s="42" t="s">
        <v>200</v>
      </c>
      <c r="H651" s="42" t="s">
        <v>156</v>
      </c>
      <c r="I651" s="42"/>
      <c r="J651" s="43" t="s">
        <v>143</v>
      </c>
      <c r="K651" s="42" t="s">
        <v>144</v>
      </c>
      <c r="L651" s="42" t="s">
        <v>144</v>
      </c>
      <c r="M651" s="44" t="s">
        <v>958</v>
      </c>
    </row>
    <row r="652" spans="1:13" x14ac:dyDescent="0.35">
      <c r="A652" s="42">
        <v>1220</v>
      </c>
      <c r="B652" s="42" t="s">
        <v>136</v>
      </c>
      <c r="C652" s="42" t="s">
        <v>199</v>
      </c>
      <c r="D652" s="42" t="s">
        <v>176</v>
      </c>
      <c r="E652" s="42" t="s">
        <v>160</v>
      </c>
      <c r="F652" s="42" t="s">
        <v>160</v>
      </c>
      <c r="G652" s="42" t="s">
        <v>200</v>
      </c>
      <c r="H652" s="42" t="s">
        <v>156</v>
      </c>
      <c r="I652" s="42"/>
      <c r="J652" s="43" t="s">
        <v>143</v>
      </c>
      <c r="K652" s="42" t="s">
        <v>50</v>
      </c>
      <c r="L652" s="42" t="s">
        <v>348</v>
      </c>
      <c r="M652" s="44" t="s">
        <v>959</v>
      </c>
    </row>
    <row r="653" spans="1:13" x14ac:dyDescent="0.35">
      <c r="A653" s="42">
        <v>1090</v>
      </c>
      <c r="B653" s="42" t="s">
        <v>136</v>
      </c>
      <c r="C653" s="42" t="s">
        <v>199</v>
      </c>
      <c r="D653" s="42" t="s">
        <v>138</v>
      </c>
      <c r="E653" s="42" t="s">
        <v>139</v>
      </c>
      <c r="F653" s="42" t="s">
        <v>140</v>
      </c>
      <c r="G653" s="42" t="s">
        <v>141</v>
      </c>
      <c r="H653" s="42" t="s">
        <v>180</v>
      </c>
      <c r="I653" s="42">
        <v>6</v>
      </c>
      <c r="J653" s="43" t="s">
        <v>143</v>
      </c>
      <c r="K653" s="42" t="s">
        <v>181</v>
      </c>
      <c r="L653" s="42" t="s">
        <v>181</v>
      </c>
      <c r="M653" s="44" t="s">
        <v>960</v>
      </c>
    </row>
    <row r="654" spans="1:13" x14ac:dyDescent="0.35">
      <c r="A654" s="42">
        <v>1090</v>
      </c>
      <c r="B654" s="42" t="s">
        <v>136</v>
      </c>
      <c r="C654" s="42" t="s">
        <v>199</v>
      </c>
      <c r="D654" s="42" t="s">
        <v>138</v>
      </c>
      <c r="E654" s="42" t="s">
        <v>139</v>
      </c>
      <c r="F654" s="42" t="s">
        <v>140</v>
      </c>
      <c r="G654" s="42" t="s">
        <v>141</v>
      </c>
      <c r="H654" s="42" t="s">
        <v>146</v>
      </c>
      <c r="I654" s="42">
        <v>7</v>
      </c>
      <c r="J654" s="46" t="s">
        <v>222</v>
      </c>
      <c r="K654" s="42" t="s">
        <v>210</v>
      </c>
      <c r="L654" s="42" t="s">
        <v>210</v>
      </c>
      <c r="M654" s="44" t="s">
        <v>961</v>
      </c>
    </row>
    <row r="655" spans="1:13" x14ac:dyDescent="0.35">
      <c r="A655" s="42">
        <v>1090</v>
      </c>
      <c r="B655" s="42" t="s">
        <v>136</v>
      </c>
      <c r="C655" s="42" t="s">
        <v>199</v>
      </c>
      <c r="D655" s="42" t="s">
        <v>138</v>
      </c>
      <c r="E655" s="42" t="s">
        <v>139</v>
      </c>
      <c r="F655" s="42" t="s">
        <v>140</v>
      </c>
      <c r="G655" s="42" t="s">
        <v>141</v>
      </c>
      <c r="H655" s="42" t="s">
        <v>150</v>
      </c>
      <c r="I655" s="42"/>
      <c r="J655" s="45" t="s">
        <v>147</v>
      </c>
      <c r="K655" s="42" t="s">
        <v>76</v>
      </c>
      <c r="L655" s="42" t="s">
        <v>76</v>
      </c>
      <c r="M655" s="44" t="s">
        <v>371</v>
      </c>
    </row>
    <row r="656" spans="1:13" x14ac:dyDescent="0.35">
      <c r="A656" s="42">
        <v>1090</v>
      </c>
      <c r="B656" s="42" t="s">
        <v>136</v>
      </c>
      <c r="C656" s="42" t="s">
        <v>199</v>
      </c>
      <c r="D656" s="42" t="s">
        <v>138</v>
      </c>
      <c r="E656" s="42" t="s">
        <v>139</v>
      </c>
      <c r="F656" s="42" t="s">
        <v>140</v>
      </c>
      <c r="G656" s="42" t="s">
        <v>141</v>
      </c>
      <c r="H656" s="42" t="s">
        <v>150</v>
      </c>
      <c r="I656" s="42"/>
      <c r="J656" s="45" t="s">
        <v>147</v>
      </c>
      <c r="K656" s="42" t="s">
        <v>196</v>
      </c>
      <c r="L656" s="42" t="s">
        <v>962</v>
      </c>
      <c r="M656" s="44" t="s">
        <v>963</v>
      </c>
    </row>
    <row r="657" spans="1:13" x14ac:dyDescent="0.35">
      <c r="A657" s="42">
        <v>1090</v>
      </c>
      <c r="B657" s="42" t="s">
        <v>136</v>
      </c>
      <c r="C657" s="42" t="s">
        <v>199</v>
      </c>
      <c r="D657" s="42" t="s">
        <v>138</v>
      </c>
      <c r="E657" s="42" t="s">
        <v>139</v>
      </c>
      <c r="F657" s="42" t="s">
        <v>140</v>
      </c>
      <c r="G657" s="42" t="s">
        <v>141</v>
      </c>
      <c r="H657" s="42" t="s">
        <v>150</v>
      </c>
      <c r="I657" s="42"/>
      <c r="J657" s="45" t="s">
        <v>147</v>
      </c>
      <c r="K657" s="42" t="s">
        <v>181</v>
      </c>
      <c r="L657" s="42" t="s">
        <v>562</v>
      </c>
      <c r="M657" s="44" t="s">
        <v>964</v>
      </c>
    </row>
    <row r="658" spans="1:13" x14ac:dyDescent="0.35">
      <c r="A658" s="42">
        <v>1090</v>
      </c>
      <c r="B658" s="42" t="s">
        <v>136</v>
      </c>
      <c r="C658" s="42" t="s">
        <v>199</v>
      </c>
      <c r="D658" s="42" t="s">
        <v>138</v>
      </c>
      <c r="E658" s="42" t="s">
        <v>139</v>
      </c>
      <c r="F658" s="42" t="s">
        <v>140</v>
      </c>
      <c r="G658" s="42" t="s">
        <v>141</v>
      </c>
      <c r="H658" s="42" t="s">
        <v>156</v>
      </c>
      <c r="I658" s="42"/>
      <c r="J658" s="43" t="s">
        <v>143</v>
      </c>
      <c r="K658" s="42" t="s">
        <v>196</v>
      </c>
      <c r="L658" s="42" t="s">
        <v>196</v>
      </c>
      <c r="M658" s="44" t="s">
        <v>965</v>
      </c>
    </row>
    <row r="659" spans="1:13" ht="37.5" x14ac:dyDescent="0.35">
      <c r="A659" s="42">
        <v>1236</v>
      </c>
      <c r="B659" s="42" t="s">
        <v>136</v>
      </c>
      <c r="C659" s="42" t="s">
        <v>137</v>
      </c>
      <c r="D659" s="42" t="s">
        <v>219</v>
      </c>
      <c r="E659" s="42" t="s">
        <v>160</v>
      </c>
      <c r="F659" s="42" t="s">
        <v>160</v>
      </c>
      <c r="G659" s="42" t="s">
        <v>141</v>
      </c>
      <c r="H659" s="42" t="s">
        <v>146</v>
      </c>
      <c r="I659" s="42">
        <v>7</v>
      </c>
      <c r="J659" s="46" t="s">
        <v>222</v>
      </c>
      <c r="K659" s="42" t="s">
        <v>187</v>
      </c>
      <c r="L659" s="42" t="s">
        <v>966</v>
      </c>
      <c r="M659" s="44" t="s">
        <v>967</v>
      </c>
    </row>
    <row r="660" spans="1:13" x14ac:dyDescent="0.35">
      <c r="A660" s="42">
        <v>1236</v>
      </c>
      <c r="B660" s="42" t="s">
        <v>136</v>
      </c>
      <c r="C660" s="42" t="s">
        <v>137</v>
      </c>
      <c r="D660" s="42" t="s">
        <v>219</v>
      </c>
      <c r="E660" s="42" t="s">
        <v>160</v>
      </c>
      <c r="F660" s="42" t="s">
        <v>160</v>
      </c>
      <c r="G660" s="42" t="s">
        <v>141</v>
      </c>
      <c r="H660" s="42" t="s">
        <v>150</v>
      </c>
      <c r="I660" s="42"/>
      <c r="J660" s="45" t="s">
        <v>147</v>
      </c>
      <c r="K660" s="42" t="s">
        <v>78</v>
      </c>
      <c r="L660" s="42" t="s">
        <v>78</v>
      </c>
      <c r="M660" s="44" t="s">
        <v>968</v>
      </c>
    </row>
    <row r="661" spans="1:13" x14ac:dyDescent="0.35">
      <c r="A661" s="42">
        <v>1236</v>
      </c>
      <c r="B661" s="42" t="s">
        <v>136</v>
      </c>
      <c r="C661" s="42" t="s">
        <v>137</v>
      </c>
      <c r="D661" s="42" t="s">
        <v>219</v>
      </c>
      <c r="E661" s="42" t="s">
        <v>160</v>
      </c>
      <c r="F661" s="42" t="s">
        <v>160</v>
      </c>
      <c r="G661" s="42" t="s">
        <v>141</v>
      </c>
      <c r="H661" s="42" t="s">
        <v>150</v>
      </c>
      <c r="I661" s="42"/>
      <c r="J661" s="45" t="s">
        <v>147</v>
      </c>
      <c r="K661" s="42" t="s">
        <v>181</v>
      </c>
      <c r="L661" s="42" t="s">
        <v>181</v>
      </c>
      <c r="M661" s="44" t="s">
        <v>969</v>
      </c>
    </row>
    <row r="662" spans="1:13" x14ac:dyDescent="0.35">
      <c r="A662" s="42">
        <v>1236</v>
      </c>
      <c r="B662" s="42" t="s">
        <v>136</v>
      </c>
      <c r="C662" s="42" t="s">
        <v>137</v>
      </c>
      <c r="D662" s="42" t="s">
        <v>219</v>
      </c>
      <c r="E662" s="42" t="s">
        <v>160</v>
      </c>
      <c r="F662" s="42" t="s">
        <v>160</v>
      </c>
      <c r="G662" s="42" t="s">
        <v>141</v>
      </c>
      <c r="H662" s="42" t="s">
        <v>150</v>
      </c>
      <c r="I662" s="42"/>
      <c r="J662" s="45" t="s">
        <v>147</v>
      </c>
      <c r="K662" s="42" t="s">
        <v>196</v>
      </c>
      <c r="L662" s="42" t="s">
        <v>217</v>
      </c>
      <c r="M662" s="44" t="s">
        <v>970</v>
      </c>
    </row>
    <row r="663" spans="1:13" x14ac:dyDescent="0.35">
      <c r="A663" s="42">
        <v>1236</v>
      </c>
      <c r="B663" s="42" t="s">
        <v>136</v>
      </c>
      <c r="C663" s="42" t="s">
        <v>137</v>
      </c>
      <c r="D663" s="42" t="s">
        <v>219</v>
      </c>
      <c r="E663" s="42" t="s">
        <v>160</v>
      </c>
      <c r="F663" s="42" t="s">
        <v>160</v>
      </c>
      <c r="G663" s="42" t="s">
        <v>141</v>
      </c>
      <c r="H663" s="42" t="s">
        <v>156</v>
      </c>
      <c r="I663" s="42"/>
      <c r="J663" s="43" t="s">
        <v>143</v>
      </c>
      <c r="K663" s="42" t="s">
        <v>196</v>
      </c>
      <c r="L663" s="42" t="s">
        <v>196</v>
      </c>
      <c r="M663" s="44" t="s">
        <v>971</v>
      </c>
    </row>
    <row r="664" spans="1:13" x14ac:dyDescent="0.35">
      <c r="A664" s="42">
        <v>1236</v>
      </c>
      <c r="B664" s="42" t="s">
        <v>136</v>
      </c>
      <c r="C664" s="42" t="s">
        <v>137</v>
      </c>
      <c r="D664" s="42" t="s">
        <v>219</v>
      </c>
      <c r="E664" s="42" t="s">
        <v>160</v>
      </c>
      <c r="F664" s="42" t="s">
        <v>160</v>
      </c>
      <c r="G664" s="42" t="s">
        <v>141</v>
      </c>
      <c r="H664" s="42" t="s">
        <v>156</v>
      </c>
      <c r="I664" s="42"/>
      <c r="J664" s="43" t="s">
        <v>143</v>
      </c>
      <c r="K664" s="42" t="s">
        <v>50</v>
      </c>
      <c r="L664" s="42" t="s">
        <v>893</v>
      </c>
      <c r="M664" s="44" t="s">
        <v>972</v>
      </c>
    </row>
    <row r="665" spans="1:13" x14ac:dyDescent="0.35">
      <c r="A665" s="42">
        <v>1236</v>
      </c>
      <c r="B665" s="42" t="s">
        <v>136</v>
      </c>
      <c r="C665" s="42" t="s">
        <v>137</v>
      </c>
      <c r="D665" s="42" t="s">
        <v>219</v>
      </c>
      <c r="E665" s="42" t="s">
        <v>160</v>
      </c>
      <c r="F665" s="42" t="s">
        <v>160</v>
      </c>
      <c r="G665" s="42" t="s">
        <v>141</v>
      </c>
      <c r="H665" s="42" t="s">
        <v>156</v>
      </c>
      <c r="I665" s="42"/>
      <c r="J665" s="43" t="s">
        <v>143</v>
      </c>
      <c r="K665" s="42" t="s">
        <v>196</v>
      </c>
      <c r="L665" s="42" t="s">
        <v>196</v>
      </c>
      <c r="M665" s="44" t="s">
        <v>973</v>
      </c>
    </row>
    <row r="666" spans="1:13" x14ac:dyDescent="0.35">
      <c r="A666" s="42">
        <v>1251</v>
      </c>
      <c r="B666" s="42" t="s">
        <v>175</v>
      </c>
      <c r="C666" s="42" t="s">
        <v>199</v>
      </c>
      <c r="D666" s="42" t="s">
        <v>159</v>
      </c>
      <c r="E666" s="42" t="s">
        <v>160</v>
      </c>
      <c r="F666" s="42" t="s">
        <v>160</v>
      </c>
      <c r="G666" s="42" t="s">
        <v>141</v>
      </c>
      <c r="H666" s="42" t="s">
        <v>183</v>
      </c>
      <c r="I666" s="42">
        <v>6</v>
      </c>
      <c r="J666" s="43" t="s">
        <v>143</v>
      </c>
      <c r="K666" s="42" t="s">
        <v>210</v>
      </c>
      <c r="L666" s="42" t="s">
        <v>210</v>
      </c>
      <c r="M666" s="44" t="s">
        <v>974</v>
      </c>
    </row>
    <row r="667" spans="1:13" x14ac:dyDescent="0.35">
      <c r="A667" s="42">
        <v>1251</v>
      </c>
      <c r="B667" s="42" t="s">
        <v>175</v>
      </c>
      <c r="C667" s="42" t="s">
        <v>199</v>
      </c>
      <c r="D667" s="42" t="s">
        <v>159</v>
      </c>
      <c r="E667" s="42" t="s">
        <v>160</v>
      </c>
      <c r="F667" s="42" t="s">
        <v>160</v>
      </c>
      <c r="G667" s="42" t="s">
        <v>141</v>
      </c>
      <c r="H667" s="42" t="s">
        <v>146</v>
      </c>
      <c r="I667" s="42">
        <v>7</v>
      </c>
      <c r="J667" s="46" t="s">
        <v>222</v>
      </c>
      <c r="K667" s="42" t="s">
        <v>484</v>
      </c>
      <c r="L667" s="42" t="s">
        <v>900</v>
      </c>
      <c r="M667" s="44" t="s">
        <v>975</v>
      </c>
    </row>
    <row r="668" spans="1:13" x14ac:dyDescent="0.35">
      <c r="A668" s="42">
        <v>1251</v>
      </c>
      <c r="B668" s="42" t="s">
        <v>175</v>
      </c>
      <c r="C668" s="42" t="s">
        <v>199</v>
      </c>
      <c r="D668" s="42" t="s">
        <v>159</v>
      </c>
      <c r="E668" s="42" t="s">
        <v>160</v>
      </c>
      <c r="F668" s="42" t="s">
        <v>160</v>
      </c>
      <c r="G668" s="42" t="s">
        <v>141</v>
      </c>
      <c r="H668" s="42" t="s">
        <v>150</v>
      </c>
      <c r="I668" s="42"/>
      <c r="J668" s="45" t="s">
        <v>147</v>
      </c>
      <c r="K668" s="42" t="s">
        <v>210</v>
      </c>
      <c r="L668" s="42" t="s">
        <v>210</v>
      </c>
      <c r="M668" s="44" t="s">
        <v>976</v>
      </c>
    </row>
    <row r="669" spans="1:13" x14ac:dyDescent="0.35">
      <c r="A669" s="42">
        <v>1251</v>
      </c>
      <c r="B669" s="42" t="s">
        <v>175</v>
      </c>
      <c r="C669" s="42" t="s">
        <v>199</v>
      </c>
      <c r="D669" s="42" t="s">
        <v>159</v>
      </c>
      <c r="E669" s="42" t="s">
        <v>160</v>
      </c>
      <c r="F669" s="42" t="s">
        <v>160</v>
      </c>
      <c r="G669" s="42" t="s">
        <v>141</v>
      </c>
      <c r="H669" s="42" t="s">
        <v>150</v>
      </c>
      <c r="I669" s="42"/>
      <c r="J669" s="45" t="s">
        <v>147</v>
      </c>
      <c r="K669" s="42" t="s">
        <v>78</v>
      </c>
      <c r="L669" s="42" t="s">
        <v>78</v>
      </c>
      <c r="M669" s="44" t="s">
        <v>977</v>
      </c>
    </row>
    <row r="670" spans="1:13" x14ac:dyDescent="0.35">
      <c r="A670" s="42">
        <v>1251</v>
      </c>
      <c r="B670" s="42" t="s">
        <v>175</v>
      </c>
      <c r="C670" s="42" t="s">
        <v>199</v>
      </c>
      <c r="D670" s="42" t="s">
        <v>159</v>
      </c>
      <c r="E670" s="42" t="s">
        <v>160</v>
      </c>
      <c r="F670" s="42" t="s">
        <v>160</v>
      </c>
      <c r="G670" s="42" t="s">
        <v>141</v>
      </c>
      <c r="H670" s="42" t="s">
        <v>150</v>
      </c>
      <c r="I670" s="42"/>
      <c r="J670" s="45" t="s">
        <v>147</v>
      </c>
      <c r="K670" s="42" t="s">
        <v>78</v>
      </c>
      <c r="L670" s="42" t="s">
        <v>151</v>
      </c>
      <c r="M670" s="44" t="s">
        <v>978</v>
      </c>
    </row>
    <row r="671" spans="1:13" x14ac:dyDescent="0.35">
      <c r="A671" s="42">
        <v>1251</v>
      </c>
      <c r="B671" s="42" t="s">
        <v>175</v>
      </c>
      <c r="C671" s="42" t="s">
        <v>199</v>
      </c>
      <c r="D671" s="42" t="s">
        <v>159</v>
      </c>
      <c r="E671" s="42" t="s">
        <v>160</v>
      </c>
      <c r="F671" s="42" t="s">
        <v>160</v>
      </c>
      <c r="G671" s="42" t="s">
        <v>141</v>
      </c>
      <c r="H671" s="42" t="s">
        <v>156</v>
      </c>
      <c r="I671" s="42"/>
      <c r="J671" s="43" t="s">
        <v>143</v>
      </c>
      <c r="K671" s="42" t="s">
        <v>144</v>
      </c>
      <c r="L671" s="42" t="s">
        <v>612</v>
      </c>
      <c r="M671" s="44" t="s">
        <v>979</v>
      </c>
    </row>
    <row r="672" spans="1:13" x14ac:dyDescent="0.35">
      <c r="A672" s="42">
        <v>1251</v>
      </c>
      <c r="B672" s="42" t="s">
        <v>175</v>
      </c>
      <c r="C672" s="42" t="s">
        <v>199</v>
      </c>
      <c r="D672" s="42" t="s">
        <v>159</v>
      </c>
      <c r="E672" s="42" t="s">
        <v>160</v>
      </c>
      <c r="F672" s="42" t="s">
        <v>160</v>
      </c>
      <c r="G672" s="42" t="s">
        <v>141</v>
      </c>
      <c r="H672" s="42" t="s">
        <v>156</v>
      </c>
      <c r="I672" s="42"/>
      <c r="J672" s="43" t="s">
        <v>143</v>
      </c>
      <c r="K672" s="42" t="s">
        <v>196</v>
      </c>
      <c r="L672" s="42" t="s">
        <v>196</v>
      </c>
      <c r="M672" s="44" t="s">
        <v>980</v>
      </c>
    </row>
    <row r="673" spans="1:13" x14ac:dyDescent="0.35">
      <c r="A673" s="42">
        <v>1251</v>
      </c>
      <c r="B673" s="42" t="s">
        <v>175</v>
      </c>
      <c r="C673" s="42" t="s">
        <v>199</v>
      </c>
      <c r="D673" s="42" t="s">
        <v>159</v>
      </c>
      <c r="E673" s="42" t="s">
        <v>160</v>
      </c>
      <c r="F673" s="42" t="s">
        <v>160</v>
      </c>
      <c r="G673" s="42" t="s">
        <v>141</v>
      </c>
      <c r="H673" s="42" t="s">
        <v>156</v>
      </c>
      <c r="I673" s="42"/>
      <c r="J673" s="43" t="s">
        <v>143</v>
      </c>
      <c r="K673" s="42" t="s">
        <v>268</v>
      </c>
      <c r="L673" s="42" t="s">
        <v>268</v>
      </c>
      <c r="M673" s="44" t="s">
        <v>981</v>
      </c>
    </row>
    <row r="674" spans="1:13" x14ac:dyDescent="0.35">
      <c r="A674" s="42">
        <v>1098</v>
      </c>
      <c r="B674" s="42" t="s">
        <v>136</v>
      </c>
      <c r="C674" s="42" t="s">
        <v>199</v>
      </c>
      <c r="D674" s="42" t="s">
        <v>176</v>
      </c>
      <c r="E674" s="42" t="s">
        <v>206</v>
      </c>
      <c r="F674" s="42" t="s">
        <v>206</v>
      </c>
      <c r="G674" s="42" t="s">
        <v>200</v>
      </c>
      <c r="H674" s="42" t="s">
        <v>163</v>
      </c>
      <c r="I674" s="42"/>
      <c r="J674" s="45" t="s">
        <v>147</v>
      </c>
      <c r="K674" s="42" t="s">
        <v>144</v>
      </c>
      <c r="L674" s="42" t="s">
        <v>144</v>
      </c>
      <c r="M674" s="44" t="s">
        <v>982</v>
      </c>
    </row>
    <row r="675" spans="1:13" x14ac:dyDescent="0.35">
      <c r="A675" s="42">
        <v>1098</v>
      </c>
      <c r="B675" s="42" t="s">
        <v>136</v>
      </c>
      <c r="C675" s="42" t="s">
        <v>199</v>
      </c>
      <c r="D675" s="42" t="s">
        <v>176</v>
      </c>
      <c r="E675" s="42" t="s">
        <v>206</v>
      </c>
      <c r="F675" s="42" t="s">
        <v>206</v>
      </c>
      <c r="G675" s="42" t="s">
        <v>200</v>
      </c>
      <c r="H675" s="42" t="s">
        <v>146</v>
      </c>
      <c r="I675" s="42">
        <v>9</v>
      </c>
      <c r="J675" s="45" t="s">
        <v>147</v>
      </c>
      <c r="K675" s="42" t="s">
        <v>82</v>
      </c>
      <c r="L675" s="42" t="s">
        <v>254</v>
      </c>
      <c r="M675" s="44" t="s">
        <v>983</v>
      </c>
    </row>
    <row r="676" spans="1:13" x14ac:dyDescent="0.35">
      <c r="A676" s="42">
        <v>1098</v>
      </c>
      <c r="B676" s="42" t="s">
        <v>136</v>
      </c>
      <c r="C676" s="42" t="s">
        <v>199</v>
      </c>
      <c r="D676" s="42" t="s">
        <v>176</v>
      </c>
      <c r="E676" s="42" t="s">
        <v>206</v>
      </c>
      <c r="F676" s="42" t="s">
        <v>206</v>
      </c>
      <c r="G676" s="42" t="s">
        <v>200</v>
      </c>
      <c r="H676" s="42" t="s">
        <v>150</v>
      </c>
      <c r="I676" s="42"/>
      <c r="J676" s="45" t="s">
        <v>147</v>
      </c>
      <c r="K676" s="42" t="s">
        <v>210</v>
      </c>
      <c r="L676" s="42" t="s">
        <v>210</v>
      </c>
      <c r="M676" s="44" t="s">
        <v>984</v>
      </c>
    </row>
    <row r="677" spans="1:13" x14ac:dyDescent="0.35">
      <c r="A677" s="42">
        <v>1098</v>
      </c>
      <c r="B677" s="42" t="s">
        <v>136</v>
      </c>
      <c r="C677" s="42" t="s">
        <v>199</v>
      </c>
      <c r="D677" s="42" t="s">
        <v>176</v>
      </c>
      <c r="E677" s="42" t="s">
        <v>206</v>
      </c>
      <c r="F677" s="42" t="s">
        <v>206</v>
      </c>
      <c r="G677" s="42" t="s">
        <v>200</v>
      </c>
      <c r="H677" s="42" t="s">
        <v>150</v>
      </c>
      <c r="I677" s="42"/>
      <c r="J677" s="45" t="s">
        <v>147</v>
      </c>
      <c r="K677" s="42" t="s">
        <v>210</v>
      </c>
      <c r="L677" s="42" t="s">
        <v>210</v>
      </c>
      <c r="M677" s="44" t="s">
        <v>985</v>
      </c>
    </row>
    <row r="678" spans="1:13" x14ac:dyDescent="0.35">
      <c r="A678" s="42">
        <v>1098</v>
      </c>
      <c r="B678" s="42" t="s">
        <v>136</v>
      </c>
      <c r="C678" s="42" t="s">
        <v>199</v>
      </c>
      <c r="D678" s="42" t="s">
        <v>176</v>
      </c>
      <c r="E678" s="42" t="s">
        <v>206</v>
      </c>
      <c r="F678" s="42" t="s">
        <v>206</v>
      </c>
      <c r="G678" s="42" t="s">
        <v>200</v>
      </c>
      <c r="H678" s="42" t="s">
        <v>156</v>
      </c>
      <c r="I678" s="42"/>
      <c r="J678" s="43" t="s">
        <v>143</v>
      </c>
      <c r="K678" s="42" t="s">
        <v>144</v>
      </c>
      <c r="L678" s="42" t="s">
        <v>144</v>
      </c>
      <c r="M678" s="44" t="s">
        <v>986</v>
      </c>
    </row>
    <row r="679" spans="1:13" x14ac:dyDescent="0.35">
      <c r="A679" s="42">
        <v>1259</v>
      </c>
      <c r="B679" s="42" t="s">
        <v>136</v>
      </c>
      <c r="C679" s="42" t="s">
        <v>199</v>
      </c>
      <c r="D679" s="42" t="s">
        <v>159</v>
      </c>
      <c r="E679" s="42" t="s">
        <v>160</v>
      </c>
      <c r="F679" s="42" t="s">
        <v>160</v>
      </c>
      <c r="G679" s="42" t="s">
        <v>141</v>
      </c>
      <c r="H679" s="42" t="s">
        <v>142</v>
      </c>
      <c r="I679" s="42">
        <v>4</v>
      </c>
      <c r="J679" s="43" t="s">
        <v>143</v>
      </c>
      <c r="K679" s="42" t="s">
        <v>76</v>
      </c>
      <c r="L679" s="42" t="s">
        <v>446</v>
      </c>
      <c r="M679" s="44" t="s">
        <v>987</v>
      </c>
    </row>
    <row r="680" spans="1:13" x14ac:dyDescent="0.35">
      <c r="A680" s="42">
        <v>1259</v>
      </c>
      <c r="B680" s="42" t="s">
        <v>136</v>
      </c>
      <c r="C680" s="42" t="s">
        <v>199</v>
      </c>
      <c r="D680" s="42" t="s">
        <v>159</v>
      </c>
      <c r="E680" s="42" t="s">
        <v>160</v>
      </c>
      <c r="F680" s="42" t="s">
        <v>160</v>
      </c>
      <c r="G680" s="42" t="s">
        <v>141</v>
      </c>
      <c r="H680" s="42" t="s">
        <v>183</v>
      </c>
      <c r="I680" s="42">
        <v>5</v>
      </c>
      <c r="J680" s="43" t="s">
        <v>143</v>
      </c>
      <c r="K680" s="42" t="s">
        <v>184</v>
      </c>
      <c r="L680" s="42" t="s">
        <v>184</v>
      </c>
      <c r="M680" s="44" t="s">
        <v>988</v>
      </c>
    </row>
    <row r="681" spans="1:13" x14ac:dyDescent="0.35">
      <c r="A681" s="42">
        <v>1259</v>
      </c>
      <c r="B681" s="42" t="s">
        <v>136</v>
      </c>
      <c r="C681" s="42" t="s">
        <v>199</v>
      </c>
      <c r="D681" s="42" t="s">
        <v>159</v>
      </c>
      <c r="E681" s="42" t="s">
        <v>160</v>
      </c>
      <c r="F681" s="42" t="s">
        <v>160</v>
      </c>
      <c r="G681" s="42" t="s">
        <v>141</v>
      </c>
      <c r="H681" s="42" t="s">
        <v>146</v>
      </c>
      <c r="I681" s="42">
        <v>7</v>
      </c>
      <c r="J681" s="46" t="s">
        <v>222</v>
      </c>
      <c r="K681" s="42" t="s">
        <v>144</v>
      </c>
      <c r="L681" s="42" t="s">
        <v>148</v>
      </c>
      <c r="M681" s="44" t="s">
        <v>989</v>
      </c>
    </row>
    <row r="682" spans="1:13" x14ac:dyDescent="0.35">
      <c r="A682" s="42">
        <v>1259</v>
      </c>
      <c r="B682" s="42" t="s">
        <v>136</v>
      </c>
      <c r="C682" s="42" t="s">
        <v>199</v>
      </c>
      <c r="D682" s="42" t="s">
        <v>159</v>
      </c>
      <c r="E682" s="42" t="s">
        <v>160</v>
      </c>
      <c r="F682" s="42" t="s">
        <v>160</v>
      </c>
      <c r="G682" s="42" t="s">
        <v>141</v>
      </c>
      <c r="H682" s="42" t="s">
        <v>150</v>
      </c>
      <c r="I682" s="42"/>
      <c r="J682" s="45" t="s">
        <v>147</v>
      </c>
      <c r="K682" s="42" t="s">
        <v>80</v>
      </c>
      <c r="L682" s="42" t="s">
        <v>80</v>
      </c>
      <c r="M682" s="44" t="s">
        <v>990</v>
      </c>
    </row>
    <row r="683" spans="1:13" x14ac:dyDescent="0.35">
      <c r="A683" s="42">
        <v>1259</v>
      </c>
      <c r="B683" s="42" t="s">
        <v>136</v>
      </c>
      <c r="C683" s="42" t="s">
        <v>199</v>
      </c>
      <c r="D683" s="42" t="s">
        <v>159</v>
      </c>
      <c r="E683" s="42" t="s">
        <v>160</v>
      </c>
      <c r="F683" s="42" t="s">
        <v>160</v>
      </c>
      <c r="G683" s="42" t="s">
        <v>141</v>
      </c>
      <c r="H683" s="42" t="s">
        <v>150</v>
      </c>
      <c r="I683" s="42"/>
      <c r="J683" s="45" t="s">
        <v>147</v>
      </c>
      <c r="K683" s="42" t="s">
        <v>210</v>
      </c>
      <c r="L683" s="42" t="s">
        <v>210</v>
      </c>
      <c r="M683" s="44" t="s">
        <v>991</v>
      </c>
    </row>
    <row r="684" spans="1:13" x14ac:dyDescent="0.35">
      <c r="A684" s="42">
        <v>1259</v>
      </c>
      <c r="B684" s="42" t="s">
        <v>136</v>
      </c>
      <c r="C684" s="42" t="s">
        <v>199</v>
      </c>
      <c r="D684" s="42" t="s">
        <v>159</v>
      </c>
      <c r="E684" s="42" t="s">
        <v>160</v>
      </c>
      <c r="F684" s="42" t="s">
        <v>160</v>
      </c>
      <c r="G684" s="42" t="s">
        <v>141</v>
      </c>
      <c r="H684" s="42" t="s">
        <v>150</v>
      </c>
      <c r="I684" s="42"/>
      <c r="J684" s="45" t="s">
        <v>147</v>
      </c>
      <c r="K684" s="42" t="s">
        <v>80</v>
      </c>
      <c r="L684" s="42" t="s">
        <v>80</v>
      </c>
      <c r="M684" s="44" t="s">
        <v>992</v>
      </c>
    </row>
    <row r="685" spans="1:13" x14ac:dyDescent="0.35">
      <c r="A685" s="42">
        <v>1259</v>
      </c>
      <c r="B685" s="42" t="s">
        <v>136</v>
      </c>
      <c r="C685" s="42" t="s">
        <v>199</v>
      </c>
      <c r="D685" s="42" t="s">
        <v>159</v>
      </c>
      <c r="E685" s="42" t="s">
        <v>160</v>
      </c>
      <c r="F685" s="42" t="s">
        <v>160</v>
      </c>
      <c r="G685" s="42" t="s">
        <v>141</v>
      </c>
      <c r="H685" s="42" t="s">
        <v>156</v>
      </c>
      <c r="I685" s="42"/>
      <c r="J685" s="43" t="s">
        <v>143</v>
      </c>
      <c r="K685" s="42" t="s">
        <v>144</v>
      </c>
      <c r="L685" s="42" t="s">
        <v>144</v>
      </c>
      <c r="M685" s="44" t="s">
        <v>409</v>
      </c>
    </row>
    <row r="686" spans="1:13" x14ac:dyDescent="0.35">
      <c r="A686" s="42">
        <v>1259</v>
      </c>
      <c r="B686" s="42" t="s">
        <v>136</v>
      </c>
      <c r="C686" s="42" t="s">
        <v>199</v>
      </c>
      <c r="D686" s="42" t="s">
        <v>159</v>
      </c>
      <c r="E686" s="42" t="s">
        <v>160</v>
      </c>
      <c r="F686" s="42" t="s">
        <v>160</v>
      </c>
      <c r="G686" s="42" t="s">
        <v>141</v>
      </c>
      <c r="H686" s="42" t="s">
        <v>156</v>
      </c>
      <c r="I686" s="42"/>
      <c r="J686" s="43" t="s">
        <v>143</v>
      </c>
      <c r="K686" s="42" t="s">
        <v>78</v>
      </c>
      <c r="L686" s="42" t="s">
        <v>78</v>
      </c>
      <c r="M686" s="44" t="s">
        <v>993</v>
      </c>
    </row>
    <row r="687" spans="1:13" x14ac:dyDescent="0.35">
      <c r="A687" s="42">
        <v>1259</v>
      </c>
      <c r="B687" s="42" t="s">
        <v>136</v>
      </c>
      <c r="C687" s="42" t="s">
        <v>199</v>
      </c>
      <c r="D687" s="42" t="s">
        <v>159</v>
      </c>
      <c r="E687" s="42" t="s">
        <v>160</v>
      </c>
      <c r="F687" s="42" t="s">
        <v>160</v>
      </c>
      <c r="G687" s="42" t="s">
        <v>141</v>
      </c>
      <c r="H687" s="42" t="s">
        <v>156</v>
      </c>
      <c r="I687" s="42"/>
      <c r="J687" s="43" t="s">
        <v>143</v>
      </c>
      <c r="K687" s="42" t="s">
        <v>196</v>
      </c>
      <c r="L687" s="42" t="s">
        <v>196</v>
      </c>
      <c r="M687" s="44" t="s">
        <v>994</v>
      </c>
    </row>
    <row r="688" spans="1:13" x14ac:dyDescent="0.35">
      <c r="A688" s="42">
        <v>1100</v>
      </c>
      <c r="B688" s="42" t="s">
        <v>175</v>
      </c>
      <c r="C688" s="42" t="s">
        <v>199</v>
      </c>
      <c r="D688" s="42" t="s">
        <v>176</v>
      </c>
      <c r="E688" s="42" t="s">
        <v>274</v>
      </c>
      <c r="F688" s="42" t="s">
        <v>140</v>
      </c>
      <c r="G688" s="42" t="s">
        <v>141</v>
      </c>
      <c r="H688" s="42" t="s">
        <v>142</v>
      </c>
      <c r="I688" s="42">
        <v>6</v>
      </c>
      <c r="J688" s="43" t="s">
        <v>143</v>
      </c>
      <c r="K688" s="42" t="s">
        <v>144</v>
      </c>
      <c r="L688" s="42" t="s">
        <v>144</v>
      </c>
      <c r="M688" s="44" t="s">
        <v>995</v>
      </c>
    </row>
    <row r="689" spans="1:13" ht="25" x14ac:dyDescent="0.35">
      <c r="A689" s="42">
        <v>1100</v>
      </c>
      <c r="B689" s="42" t="s">
        <v>175</v>
      </c>
      <c r="C689" s="42" t="s">
        <v>199</v>
      </c>
      <c r="D689" s="42" t="s">
        <v>176</v>
      </c>
      <c r="E689" s="42" t="s">
        <v>274</v>
      </c>
      <c r="F689" s="42" t="s">
        <v>140</v>
      </c>
      <c r="G689" s="42" t="s">
        <v>141</v>
      </c>
      <c r="H689" s="42" t="s">
        <v>177</v>
      </c>
      <c r="I689" s="42">
        <v>6</v>
      </c>
      <c r="J689" s="43" t="s">
        <v>143</v>
      </c>
      <c r="K689" s="42" t="s">
        <v>53</v>
      </c>
      <c r="L689" s="42" t="s">
        <v>440</v>
      </c>
      <c r="M689" s="44" t="s">
        <v>996</v>
      </c>
    </row>
    <row r="690" spans="1:13" x14ac:dyDescent="0.35">
      <c r="A690" s="42">
        <v>1100</v>
      </c>
      <c r="B690" s="42" t="s">
        <v>175</v>
      </c>
      <c r="C690" s="42" t="s">
        <v>199</v>
      </c>
      <c r="D690" s="42" t="s">
        <v>176</v>
      </c>
      <c r="E690" s="42" t="s">
        <v>274</v>
      </c>
      <c r="F690" s="42" t="s">
        <v>140</v>
      </c>
      <c r="G690" s="42" t="s">
        <v>141</v>
      </c>
      <c r="H690" s="42" t="s">
        <v>180</v>
      </c>
      <c r="I690" s="42">
        <v>3</v>
      </c>
      <c r="J690" s="43" t="s">
        <v>143</v>
      </c>
      <c r="K690" s="42" t="s">
        <v>196</v>
      </c>
      <c r="L690" s="42" t="s">
        <v>196</v>
      </c>
      <c r="M690" s="44" t="s">
        <v>997</v>
      </c>
    </row>
    <row r="691" spans="1:13" x14ac:dyDescent="0.35">
      <c r="A691" s="42">
        <v>1100</v>
      </c>
      <c r="B691" s="42" t="s">
        <v>175</v>
      </c>
      <c r="C691" s="42" t="s">
        <v>199</v>
      </c>
      <c r="D691" s="42" t="s">
        <v>176</v>
      </c>
      <c r="E691" s="42" t="s">
        <v>274</v>
      </c>
      <c r="F691" s="42" t="s">
        <v>140</v>
      </c>
      <c r="G691" s="42" t="s">
        <v>141</v>
      </c>
      <c r="H691" s="42" t="s">
        <v>146</v>
      </c>
      <c r="I691" s="42">
        <v>6</v>
      </c>
      <c r="J691" s="43" t="s">
        <v>143</v>
      </c>
      <c r="K691" s="42" t="s">
        <v>144</v>
      </c>
      <c r="L691" s="42" t="s">
        <v>250</v>
      </c>
      <c r="M691" s="44" t="s">
        <v>998</v>
      </c>
    </row>
    <row r="692" spans="1:13" x14ac:dyDescent="0.35">
      <c r="A692" s="42">
        <v>1100</v>
      </c>
      <c r="B692" s="42" t="s">
        <v>175</v>
      </c>
      <c r="C692" s="42" t="s">
        <v>199</v>
      </c>
      <c r="D692" s="42" t="s">
        <v>176</v>
      </c>
      <c r="E692" s="42" t="s">
        <v>274</v>
      </c>
      <c r="F692" s="42" t="s">
        <v>140</v>
      </c>
      <c r="G692" s="42" t="s">
        <v>141</v>
      </c>
      <c r="H692" s="42" t="s">
        <v>150</v>
      </c>
      <c r="I692" s="42"/>
      <c r="J692" s="45" t="s">
        <v>147</v>
      </c>
      <c r="K692" s="42" t="s">
        <v>76</v>
      </c>
      <c r="L692" s="42" t="s">
        <v>76</v>
      </c>
      <c r="M692" s="44" t="s">
        <v>999</v>
      </c>
    </row>
    <row r="693" spans="1:13" x14ac:dyDescent="0.35">
      <c r="A693" s="42">
        <v>1100</v>
      </c>
      <c r="B693" s="42" t="s">
        <v>175</v>
      </c>
      <c r="C693" s="42" t="s">
        <v>199</v>
      </c>
      <c r="D693" s="42" t="s">
        <v>176</v>
      </c>
      <c r="E693" s="42" t="s">
        <v>274</v>
      </c>
      <c r="F693" s="42" t="s">
        <v>140</v>
      </c>
      <c r="G693" s="42" t="s">
        <v>141</v>
      </c>
      <c r="H693" s="42" t="s">
        <v>150</v>
      </c>
      <c r="I693" s="42"/>
      <c r="J693" s="45" t="s">
        <v>147</v>
      </c>
      <c r="K693" s="42" t="s">
        <v>78</v>
      </c>
      <c r="L693" s="42" t="s">
        <v>335</v>
      </c>
      <c r="M693" s="44" t="s">
        <v>1000</v>
      </c>
    </row>
    <row r="694" spans="1:13" x14ac:dyDescent="0.35">
      <c r="A694" s="42">
        <v>1100</v>
      </c>
      <c r="B694" s="42" t="s">
        <v>175</v>
      </c>
      <c r="C694" s="42" t="s">
        <v>199</v>
      </c>
      <c r="D694" s="42" t="s">
        <v>176</v>
      </c>
      <c r="E694" s="42" t="s">
        <v>274</v>
      </c>
      <c r="F694" s="42" t="s">
        <v>140</v>
      </c>
      <c r="G694" s="42" t="s">
        <v>141</v>
      </c>
      <c r="H694" s="42" t="s">
        <v>150</v>
      </c>
      <c r="I694" s="42"/>
      <c r="J694" s="45" t="s">
        <v>147</v>
      </c>
      <c r="K694" s="42" t="s">
        <v>268</v>
      </c>
      <c r="L694" s="42" t="s">
        <v>268</v>
      </c>
      <c r="M694" s="44" t="s">
        <v>1001</v>
      </c>
    </row>
    <row r="695" spans="1:13" ht="25" x14ac:dyDescent="0.35">
      <c r="A695" s="42">
        <v>1100</v>
      </c>
      <c r="B695" s="42" t="s">
        <v>175</v>
      </c>
      <c r="C695" s="42" t="s">
        <v>199</v>
      </c>
      <c r="D695" s="42" t="s">
        <v>176</v>
      </c>
      <c r="E695" s="42" t="s">
        <v>274</v>
      </c>
      <c r="F695" s="42" t="s">
        <v>140</v>
      </c>
      <c r="G695" s="42" t="s">
        <v>141</v>
      </c>
      <c r="H695" s="42" t="s">
        <v>156</v>
      </c>
      <c r="I695" s="42"/>
      <c r="J695" s="43" t="s">
        <v>143</v>
      </c>
      <c r="K695" s="42" t="s">
        <v>144</v>
      </c>
      <c r="L695" s="42" t="s">
        <v>250</v>
      </c>
      <c r="M695" s="44" t="s">
        <v>1002</v>
      </c>
    </row>
    <row r="696" spans="1:13" ht="25" x14ac:dyDescent="0.35">
      <c r="A696" s="42">
        <v>1100</v>
      </c>
      <c r="B696" s="42" t="s">
        <v>175</v>
      </c>
      <c r="C696" s="42" t="s">
        <v>199</v>
      </c>
      <c r="D696" s="42" t="s">
        <v>176</v>
      </c>
      <c r="E696" s="42" t="s">
        <v>274</v>
      </c>
      <c r="F696" s="42" t="s">
        <v>140</v>
      </c>
      <c r="G696" s="42" t="s">
        <v>141</v>
      </c>
      <c r="H696" s="42" t="s">
        <v>156</v>
      </c>
      <c r="I696" s="42"/>
      <c r="J696" s="43" t="s">
        <v>143</v>
      </c>
      <c r="K696" s="42" t="s">
        <v>144</v>
      </c>
      <c r="L696" s="42" t="s">
        <v>1003</v>
      </c>
      <c r="M696" s="44" t="s">
        <v>1004</v>
      </c>
    </row>
    <row r="697" spans="1:13" x14ac:dyDescent="0.35">
      <c r="A697" s="42">
        <v>1106</v>
      </c>
      <c r="B697" s="42" t="s">
        <v>136</v>
      </c>
      <c r="C697" s="42" t="s">
        <v>137</v>
      </c>
      <c r="D697" s="42" t="s">
        <v>138</v>
      </c>
      <c r="E697" s="42" t="s">
        <v>206</v>
      </c>
      <c r="F697" s="42" t="s">
        <v>206</v>
      </c>
      <c r="G697" s="42" t="s">
        <v>141</v>
      </c>
      <c r="H697" s="42" t="s">
        <v>142</v>
      </c>
      <c r="I697" s="42">
        <v>4</v>
      </c>
      <c r="J697" s="43" t="s">
        <v>143</v>
      </c>
      <c r="K697" s="42" t="s">
        <v>144</v>
      </c>
      <c r="L697" s="42" t="s">
        <v>164</v>
      </c>
      <c r="M697" s="44" t="s">
        <v>1005</v>
      </c>
    </row>
    <row r="698" spans="1:13" ht="25" x14ac:dyDescent="0.35">
      <c r="A698" s="42">
        <v>1106</v>
      </c>
      <c r="B698" s="42" t="s">
        <v>136</v>
      </c>
      <c r="C698" s="42" t="s">
        <v>137</v>
      </c>
      <c r="D698" s="42" t="s">
        <v>138</v>
      </c>
      <c r="E698" s="42" t="s">
        <v>206</v>
      </c>
      <c r="F698" s="42" t="s">
        <v>206</v>
      </c>
      <c r="G698" s="42" t="s">
        <v>141</v>
      </c>
      <c r="H698" s="42" t="s">
        <v>177</v>
      </c>
      <c r="I698" s="42">
        <v>2</v>
      </c>
      <c r="J698" s="43" t="s">
        <v>143</v>
      </c>
      <c r="K698" s="42" t="s">
        <v>53</v>
      </c>
      <c r="L698" s="42" t="s">
        <v>291</v>
      </c>
      <c r="M698" s="44" t="s">
        <v>1006</v>
      </c>
    </row>
    <row r="699" spans="1:13" x14ac:dyDescent="0.35">
      <c r="A699" s="42">
        <v>1106</v>
      </c>
      <c r="B699" s="42" t="s">
        <v>136</v>
      </c>
      <c r="C699" s="42" t="s">
        <v>137</v>
      </c>
      <c r="D699" s="42" t="s">
        <v>138</v>
      </c>
      <c r="E699" s="42" t="s">
        <v>206</v>
      </c>
      <c r="F699" s="42" t="s">
        <v>206</v>
      </c>
      <c r="G699" s="42" t="s">
        <v>141</v>
      </c>
      <c r="H699" s="42" t="s">
        <v>166</v>
      </c>
      <c r="I699" s="42">
        <v>2</v>
      </c>
      <c r="J699" s="43" t="s">
        <v>143</v>
      </c>
      <c r="K699" s="42" t="s">
        <v>50</v>
      </c>
      <c r="L699" s="42" t="s">
        <v>1007</v>
      </c>
      <c r="M699" s="44" t="s">
        <v>1008</v>
      </c>
    </row>
    <row r="700" spans="1:13" x14ac:dyDescent="0.35">
      <c r="A700" s="42">
        <v>1106</v>
      </c>
      <c r="B700" s="42" t="s">
        <v>136</v>
      </c>
      <c r="C700" s="42" t="s">
        <v>137</v>
      </c>
      <c r="D700" s="42" t="s">
        <v>138</v>
      </c>
      <c r="E700" s="42" t="s">
        <v>206</v>
      </c>
      <c r="F700" s="42" t="s">
        <v>206</v>
      </c>
      <c r="G700" s="42" t="s">
        <v>141</v>
      </c>
      <c r="H700" s="42" t="s">
        <v>180</v>
      </c>
      <c r="I700" s="42">
        <v>6</v>
      </c>
      <c r="J700" s="43" t="s">
        <v>143</v>
      </c>
      <c r="K700" s="42" t="s">
        <v>210</v>
      </c>
      <c r="L700" s="42" t="s">
        <v>210</v>
      </c>
      <c r="M700" s="44" t="s">
        <v>1009</v>
      </c>
    </row>
    <row r="701" spans="1:13" x14ac:dyDescent="0.35">
      <c r="A701" s="42">
        <v>1106</v>
      </c>
      <c r="B701" s="42" t="s">
        <v>136</v>
      </c>
      <c r="C701" s="42" t="s">
        <v>137</v>
      </c>
      <c r="D701" s="42" t="s">
        <v>138</v>
      </c>
      <c r="E701" s="42" t="s">
        <v>206</v>
      </c>
      <c r="F701" s="42" t="s">
        <v>206</v>
      </c>
      <c r="G701" s="42" t="s">
        <v>141</v>
      </c>
      <c r="H701" s="42" t="s">
        <v>183</v>
      </c>
      <c r="I701" s="42">
        <v>5</v>
      </c>
      <c r="J701" s="43" t="s">
        <v>143</v>
      </c>
      <c r="K701" s="42" t="s">
        <v>210</v>
      </c>
      <c r="L701" s="42" t="s">
        <v>210</v>
      </c>
      <c r="M701" s="44" t="s">
        <v>1010</v>
      </c>
    </row>
    <row r="702" spans="1:13" x14ac:dyDescent="0.35">
      <c r="A702" s="42">
        <v>1106</v>
      </c>
      <c r="B702" s="42" t="s">
        <v>136</v>
      </c>
      <c r="C702" s="42" t="s">
        <v>137</v>
      </c>
      <c r="D702" s="42" t="s">
        <v>138</v>
      </c>
      <c r="E702" s="42" t="s">
        <v>206</v>
      </c>
      <c r="F702" s="42" t="s">
        <v>206</v>
      </c>
      <c r="G702" s="42" t="s">
        <v>141</v>
      </c>
      <c r="H702" s="42" t="s">
        <v>146</v>
      </c>
      <c r="I702" s="42">
        <v>1</v>
      </c>
      <c r="J702" s="43" t="s">
        <v>143</v>
      </c>
      <c r="K702" s="42" t="s">
        <v>484</v>
      </c>
      <c r="L702" s="42" t="s">
        <v>772</v>
      </c>
      <c r="M702" s="44" t="s">
        <v>1011</v>
      </c>
    </row>
    <row r="703" spans="1:13" x14ac:dyDescent="0.35">
      <c r="A703" s="42">
        <v>1106</v>
      </c>
      <c r="B703" s="42" t="s">
        <v>136</v>
      </c>
      <c r="C703" s="42" t="s">
        <v>137</v>
      </c>
      <c r="D703" s="42" t="s">
        <v>138</v>
      </c>
      <c r="E703" s="42" t="s">
        <v>206</v>
      </c>
      <c r="F703" s="42" t="s">
        <v>206</v>
      </c>
      <c r="G703" s="42" t="s">
        <v>141</v>
      </c>
      <c r="H703" s="42" t="s">
        <v>150</v>
      </c>
      <c r="I703" s="42"/>
      <c r="J703" s="45" t="s">
        <v>147</v>
      </c>
      <c r="K703" s="42" t="s">
        <v>76</v>
      </c>
      <c r="L703" s="42" t="s">
        <v>618</v>
      </c>
      <c r="M703" s="44" t="s">
        <v>1012</v>
      </c>
    </row>
    <row r="704" spans="1:13" x14ac:dyDescent="0.35">
      <c r="A704" s="42">
        <v>1106</v>
      </c>
      <c r="B704" s="42" t="s">
        <v>136</v>
      </c>
      <c r="C704" s="42" t="s">
        <v>137</v>
      </c>
      <c r="D704" s="42" t="s">
        <v>138</v>
      </c>
      <c r="E704" s="42" t="s">
        <v>206</v>
      </c>
      <c r="F704" s="42" t="s">
        <v>206</v>
      </c>
      <c r="G704" s="42" t="s">
        <v>141</v>
      </c>
      <c r="H704" s="42" t="s">
        <v>150</v>
      </c>
      <c r="I704" s="42"/>
      <c r="J704" s="45" t="s">
        <v>147</v>
      </c>
      <c r="K704" s="42" t="s">
        <v>76</v>
      </c>
      <c r="L704" s="42" t="s">
        <v>76</v>
      </c>
      <c r="M704" s="44" t="s">
        <v>227</v>
      </c>
    </row>
    <row r="705" spans="1:13" x14ac:dyDescent="0.35">
      <c r="A705" s="42">
        <v>1106</v>
      </c>
      <c r="B705" s="42" t="s">
        <v>136</v>
      </c>
      <c r="C705" s="42" t="s">
        <v>137</v>
      </c>
      <c r="D705" s="42" t="s">
        <v>138</v>
      </c>
      <c r="E705" s="42" t="s">
        <v>206</v>
      </c>
      <c r="F705" s="42" t="s">
        <v>206</v>
      </c>
      <c r="G705" s="42" t="s">
        <v>141</v>
      </c>
      <c r="H705" s="42" t="s">
        <v>156</v>
      </c>
      <c r="I705" s="42"/>
      <c r="J705" s="43" t="s">
        <v>143</v>
      </c>
      <c r="K705" s="42" t="s">
        <v>190</v>
      </c>
      <c r="L705" s="42" t="s">
        <v>190</v>
      </c>
      <c r="M705" s="44" t="s">
        <v>1013</v>
      </c>
    </row>
    <row r="706" spans="1:13" x14ac:dyDescent="0.35">
      <c r="A706" s="42">
        <v>1106</v>
      </c>
      <c r="B706" s="42" t="s">
        <v>136</v>
      </c>
      <c r="C706" s="42" t="s">
        <v>137</v>
      </c>
      <c r="D706" s="42" t="s">
        <v>138</v>
      </c>
      <c r="E706" s="42" t="s">
        <v>206</v>
      </c>
      <c r="F706" s="42" t="s">
        <v>206</v>
      </c>
      <c r="G706" s="42" t="s">
        <v>141</v>
      </c>
      <c r="H706" s="42" t="s">
        <v>156</v>
      </c>
      <c r="I706" s="42"/>
      <c r="J706" s="43" t="s">
        <v>143</v>
      </c>
      <c r="K706" s="42" t="s">
        <v>50</v>
      </c>
      <c r="L706" s="42" t="s">
        <v>348</v>
      </c>
      <c r="M706" s="44" t="s">
        <v>1014</v>
      </c>
    </row>
    <row r="707" spans="1:13" x14ac:dyDescent="0.35">
      <c r="A707" s="42">
        <v>1106</v>
      </c>
      <c r="B707" s="42" t="s">
        <v>136</v>
      </c>
      <c r="C707" s="42" t="s">
        <v>137</v>
      </c>
      <c r="D707" s="42" t="s">
        <v>138</v>
      </c>
      <c r="E707" s="42" t="s">
        <v>206</v>
      </c>
      <c r="F707" s="42" t="s">
        <v>206</v>
      </c>
      <c r="G707" s="42" t="s">
        <v>141</v>
      </c>
      <c r="H707" s="42" t="s">
        <v>156</v>
      </c>
      <c r="I707" s="42"/>
      <c r="J707" s="43" t="s">
        <v>143</v>
      </c>
      <c r="K707" s="42" t="s">
        <v>196</v>
      </c>
      <c r="L707" s="42" t="s">
        <v>196</v>
      </c>
      <c r="M707" s="44" t="s">
        <v>1015</v>
      </c>
    </row>
    <row r="708" spans="1:13" ht="25" x14ac:dyDescent="0.35">
      <c r="A708" s="42">
        <v>1109</v>
      </c>
      <c r="B708" s="42" t="s">
        <v>136</v>
      </c>
      <c r="C708" s="42" t="s">
        <v>199</v>
      </c>
      <c r="D708" s="42" t="s">
        <v>159</v>
      </c>
      <c r="E708" s="42" t="s">
        <v>139</v>
      </c>
      <c r="F708" s="42" t="s">
        <v>140</v>
      </c>
      <c r="G708" s="42" t="s">
        <v>141</v>
      </c>
      <c r="H708" s="42" t="s">
        <v>163</v>
      </c>
      <c r="I708" s="42"/>
      <c r="J708" s="45" t="s">
        <v>147</v>
      </c>
      <c r="K708" s="42" t="s">
        <v>82</v>
      </c>
      <c r="L708" s="42" t="s">
        <v>1016</v>
      </c>
      <c r="M708" s="44" t="s">
        <v>1017</v>
      </c>
    </row>
    <row r="709" spans="1:13" x14ac:dyDescent="0.35">
      <c r="A709" s="42">
        <v>1109</v>
      </c>
      <c r="B709" s="42" t="s">
        <v>136</v>
      </c>
      <c r="C709" s="42" t="s">
        <v>199</v>
      </c>
      <c r="D709" s="42" t="s">
        <v>159</v>
      </c>
      <c r="E709" s="42" t="s">
        <v>139</v>
      </c>
      <c r="F709" s="42" t="s">
        <v>140</v>
      </c>
      <c r="G709" s="42" t="s">
        <v>141</v>
      </c>
      <c r="H709" s="42" t="s">
        <v>146</v>
      </c>
      <c r="I709" s="42">
        <v>10</v>
      </c>
      <c r="J709" s="45" t="s">
        <v>147</v>
      </c>
      <c r="K709" s="42" t="s">
        <v>210</v>
      </c>
      <c r="L709" s="42" t="s">
        <v>210</v>
      </c>
      <c r="M709" s="44" t="s">
        <v>1018</v>
      </c>
    </row>
    <row r="710" spans="1:13" x14ac:dyDescent="0.35">
      <c r="A710" s="42">
        <v>1109</v>
      </c>
      <c r="B710" s="42" t="s">
        <v>136</v>
      </c>
      <c r="C710" s="42" t="s">
        <v>199</v>
      </c>
      <c r="D710" s="42" t="s">
        <v>159</v>
      </c>
      <c r="E710" s="42" t="s">
        <v>139</v>
      </c>
      <c r="F710" s="42" t="s">
        <v>140</v>
      </c>
      <c r="G710" s="42" t="s">
        <v>141</v>
      </c>
      <c r="H710" s="42" t="s">
        <v>150</v>
      </c>
      <c r="I710" s="42"/>
      <c r="J710" s="45" t="s">
        <v>147</v>
      </c>
      <c r="K710" s="42" t="s">
        <v>78</v>
      </c>
      <c r="L710" s="42" t="s">
        <v>78</v>
      </c>
      <c r="M710" s="44" t="s">
        <v>1019</v>
      </c>
    </row>
    <row r="711" spans="1:13" x14ac:dyDescent="0.35">
      <c r="A711" s="42">
        <v>1109</v>
      </c>
      <c r="B711" s="42" t="s">
        <v>136</v>
      </c>
      <c r="C711" s="42" t="s">
        <v>199</v>
      </c>
      <c r="D711" s="42" t="s">
        <v>159</v>
      </c>
      <c r="E711" s="42" t="s">
        <v>139</v>
      </c>
      <c r="F711" s="42" t="s">
        <v>140</v>
      </c>
      <c r="G711" s="42" t="s">
        <v>141</v>
      </c>
      <c r="H711" s="42" t="s">
        <v>150</v>
      </c>
      <c r="I711" s="42"/>
      <c r="J711" s="45" t="s">
        <v>147</v>
      </c>
      <c r="K711" s="42" t="s">
        <v>144</v>
      </c>
      <c r="L711" s="42" t="s">
        <v>144</v>
      </c>
      <c r="M711" s="44" t="s">
        <v>1020</v>
      </c>
    </row>
    <row r="712" spans="1:13" x14ac:dyDescent="0.35">
      <c r="A712" s="42">
        <v>1109</v>
      </c>
      <c r="B712" s="42" t="s">
        <v>136</v>
      </c>
      <c r="C712" s="42" t="s">
        <v>199</v>
      </c>
      <c r="D712" s="42" t="s">
        <v>159</v>
      </c>
      <c r="E712" s="42" t="s">
        <v>139</v>
      </c>
      <c r="F712" s="42" t="s">
        <v>140</v>
      </c>
      <c r="G712" s="42" t="s">
        <v>141</v>
      </c>
      <c r="H712" s="42" t="s">
        <v>150</v>
      </c>
      <c r="I712" s="42"/>
      <c r="J712" s="45" t="s">
        <v>147</v>
      </c>
      <c r="K712" s="42" t="s">
        <v>144</v>
      </c>
      <c r="L712" s="42" t="s">
        <v>144</v>
      </c>
      <c r="M712" s="44" t="s">
        <v>1021</v>
      </c>
    </row>
    <row r="713" spans="1:13" x14ac:dyDescent="0.35">
      <c r="A713" s="42">
        <v>1109</v>
      </c>
      <c r="B713" s="42" t="s">
        <v>136</v>
      </c>
      <c r="C713" s="42" t="s">
        <v>199</v>
      </c>
      <c r="D713" s="42" t="s">
        <v>159</v>
      </c>
      <c r="E713" s="42" t="s">
        <v>139</v>
      </c>
      <c r="F713" s="42" t="s">
        <v>140</v>
      </c>
      <c r="G713" s="42" t="s">
        <v>141</v>
      </c>
      <c r="H713" s="42" t="s">
        <v>156</v>
      </c>
      <c r="I713" s="42"/>
      <c r="J713" s="43" t="s">
        <v>143</v>
      </c>
      <c r="K713" s="42" t="s">
        <v>210</v>
      </c>
      <c r="L713" s="42" t="s">
        <v>210</v>
      </c>
      <c r="M713" s="44" t="s">
        <v>1022</v>
      </c>
    </row>
    <row r="714" spans="1:13" ht="37.5" x14ac:dyDescent="0.35">
      <c r="A714" s="42">
        <v>1272</v>
      </c>
      <c r="B714" s="42" t="s">
        <v>136</v>
      </c>
      <c r="C714" s="42" t="s">
        <v>137</v>
      </c>
      <c r="D714" s="42" t="s">
        <v>159</v>
      </c>
      <c r="E714" s="42" t="s">
        <v>160</v>
      </c>
      <c r="F714" s="42" t="s">
        <v>160</v>
      </c>
      <c r="G714" s="42" t="s">
        <v>141</v>
      </c>
      <c r="H714" s="42" t="s">
        <v>146</v>
      </c>
      <c r="I714" s="42">
        <v>7</v>
      </c>
      <c r="J714" s="46" t="s">
        <v>222</v>
      </c>
      <c r="K714" s="42" t="s">
        <v>78</v>
      </c>
      <c r="L714" s="42" t="s">
        <v>335</v>
      </c>
      <c r="M714" s="44" t="s">
        <v>1023</v>
      </c>
    </row>
    <row r="715" spans="1:13" x14ac:dyDescent="0.35">
      <c r="A715" s="42">
        <v>1272</v>
      </c>
      <c r="B715" s="42" t="s">
        <v>136</v>
      </c>
      <c r="C715" s="42" t="s">
        <v>137</v>
      </c>
      <c r="D715" s="42" t="s">
        <v>159</v>
      </c>
      <c r="E715" s="42" t="s">
        <v>160</v>
      </c>
      <c r="F715" s="42" t="s">
        <v>160</v>
      </c>
      <c r="G715" s="42" t="s">
        <v>141</v>
      </c>
      <c r="H715" s="42" t="s">
        <v>150</v>
      </c>
      <c r="I715" s="42"/>
      <c r="J715" s="45" t="s">
        <v>147</v>
      </c>
      <c r="K715" s="42" t="s">
        <v>50</v>
      </c>
      <c r="L715" s="42" t="s">
        <v>171</v>
      </c>
      <c r="M715" s="44" t="s">
        <v>1024</v>
      </c>
    </row>
    <row r="716" spans="1:13" x14ac:dyDescent="0.35">
      <c r="A716" s="42">
        <v>1272</v>
      </c>
      <c r="B716" s="42" t="s">
        <v>136</v>
      </c>
      <c r="C716" s="42" t="s">
        <v>137</v>
      </c>
      <c r="D716" s="42" t="s">
        <v>159</v>
      </c>
      <c r="E716" s="42" t="s">
        <v>160</v>
      </c>
      <c r="F716" s="42" t="s">
        <v>160</v>
      </c>
      <c r="G716" s="42" t="s">
        <v>141</v>
      </c>
      <c r="H716" s="42" t="s">
        <v>150</v>
      </c>
      <c r="I716" s="42"/>
      <c r="J716" s="45" t="s">
        <v>147</v>
      </c>
      <c r="K716" s="42" t="s">
        <v>78</v>
      </c>
      <c r="L716" s="42" t="s">
        <v>78</v>
      </c>
      <c r="M716" s="44" t="s">
        <v>1025</v>
      </c>
    </row>
    <row r="717" spans="1:13" x14ac:dyDescent="0.35">
      <c r="A717" s="42">
        <v>1272</v>
      </c>
      <c r="B717" s="42" t="s">
        <v>136</v>
      </c>
      <c r="C717" s="42" t="s">
        <v>137</v>
      </c>
      <c r="D717" s="42" t="s">
        <v>159</v>
      </c>
      <c r="E717" s="42" t="s">
        <v>160</v>
      </c>
      <c r="F717" s="42" t="s">
        <v>160</v>
      </c>
      <c r="G717" s="42" t="s">
        <v>141</v>
      </c>
      <c r="H717" s="42" t="s">
        <v>150</v>
      </c>
      <c r="I717" s="42"/>
      <c r="J717" s="45" t="s">
        <v>147</v>
      </c>
      <c r="K717" s="42" t="s">
        <v>187</v>
      </c>
      <c r="L717" s="42" t="s">
        <v>1026</v>
      </c>
      <c r="M717" s="44" t="s">
        <v>1027</v>
      </c>
    </row>
    <row r="718" spans="1:13" x14ac:dyDescent="0.35">
      <c r="A718" s="42">
        <v>1272</v>
      </c>
      <c r="B718" s="42" t="s">
        <v>136</v>
      </c>
      <c r="C718" s="42" t="s">
        <v>137</v>
      </c>
      <c r="D718" s="42" t="s">
        <v>159</v>
      </c>
      <c r="E718" s="42" t="s">
        <v>160</v>
      </c>
      <c r="F718" s="42" t="s">
        <v>160</v>
      </c>
      <c r="G718" s="42" t="s">
        <v>141</v>
      </c>
      <c r="H718" s="42" t="s">
        <v>156</v>
      </c>
      <c r="I718" s="42"/>
      <c r="J718" s="43" t="s">
        <v>143</v>
      </c>
      <c r="K718" s="42" t="s">
        <v>187</v>
      </c>
      <c r="L718" s="42" t="s">
        <v>364</v>
      </c>
      <c r="M718" s="44" t="s">
        <v>1028</v>
      </c>
    </row>
    <row r="719" spans="1:13" ht="25" x14ac:dyDescent="0.35">
      <c r="A719" s="42">
        <v>1272</v>
      </c>
      <c r="B719" s="42" t="s">
        <v>136</v>
      </c>
      <c r="C719" s="42" t="s">
        <v>137</v>
      </c>
      <c r="D719" s="42" t="s">
        <v>159</v>
      </c>
      <c r="E719" s="42" t="s">
        <v>160</v>
      </c>
      <c r="F719" s="42" t="s">
        <v>160</v>
      </c>
      <c r="G719" s="42" t="s">
        <v>141</v>
      </c>
      <c r="H719" s="42" t="s">
        <v>156</v>
      </c>
      <c r="I719" s="42"/>
      <c r="J719" s="43" t="s">
        <v>143</v>
      </c>
      <c r="K719" s="42" t="s">
        <v>262</v>
      </c>
      <c r="L719" s="42" t="s">
        <v>263</v>
      </c>
      <c r="M719" s="44" t="s">
        <v>1029</v>
      </c>
    </row>
    <row r="720" spans="1:13" ht="25" x14ac:dyDescent="0.35">
      <c r="A720" s="42">
        <v>1272</v>
      </c>
      <c r="B720" s="42" t="s">
        <v>136</v>
      </c>
      <c r="C720" s="42" t="s">
        <v>137</v>
      </c>
      <c r="D720" s="42" t="s">
        <v>159</v>
      </c>
      <c r="E720" s="42" t="s">
        <v>160</v>
      </c>
      <c r="F720" s="42" t="s">
        <v>160</v>
      </c>
      <c r="G720" s="42" t="s">
        <v>141</v>
      </c>
      <c r="H720" s="42" t="s">
        <v>156</v>
      </c>
      <c r="I720" s="42"/>
      <c r="J720" s="43" t="s">
        <v>143</v>
      </c>
      <c r="K720" s="42" t="s">
        <v>53</v>
      </c>
      <c r="L720" s="42" t="s">
        <v>53</v>
      </c>
      <c r="M720" s="44" t="s">
        <v>1030</v>
      </c>
    </row>
    <row r="721" spans="1:13" x14ac:dyDescent="0.35">
      <c r="A721" s="42">
        <v>1312</v>
      </c>
      <c r="B721" s="42" t="s">
        <v>136</v>
      </c>
      <c r="C721" s="42" t="s">
        <v>199</v>
      </c>
      <c r="D721" s="42" t="s">
        <v>159</v>
      </c>
      <c r="E721" s="42" t="s">
        <v>160</v>
      </c>
      <c r="F721" s="42" t="s">
        <v>160</v>
      </c>
      <c r="G721" s="42" t="s">
        <v>141</v>
      </c>
      <c r="H721" s="42" t="s">
        <v>142</v>
      </c>
      <c r="I721" s="42">
        <v>6</v>
      </c>
      <c r="J721" s="43" t="s">
        <v>143</v>
      </c>
      <c r="K721" s="42" t="s">
        <v>144</v>
      </c>
      <c r="L721" s="42" t="s">
        <v>144</v>
      </c>
      <c r="M721" s="44" t="s">
        <v>1031</v>
      </c>
    </row>
    <row r="722" spans="1:13" ht="37.5" x14ac:dyDescent="0.35">
      <c r="A722" s="42">
        <v>1312</v>
      </c>
      <c r="B722" s="42" t="s">
        <v>136</v>
      </c>
      <c r="C722" s="42" t="s">
        <v>199</v>
      </c>
      <c r="D722" s="42" t="s">
        <v>159</v>
      </c>
      <c r="E722" s="42" t="s">
        <v>160</v>
      </c>
      <c r="F722" s="42" t="s">
        <v>160</v>
      </c>
      <c r="G722" s="42" t="s">
        <v>141</v>
      </c>
      <c r="H722" s="42" t="s">
        <v>163</v>
      </c>
      <c r="I722" s="42"/>
      <c r="J722" s="46" t="s">
        <v>222</v>
      </c>
      <c r="K722" s="42" t="s">
        <v>144</v>
      </c>
      <c r="L722" s="42" t="s">
        <v>644</v>
      </c>
      <c r="M722" s="44" t="s">
        <v>1032</v>
      </c>
    </row>
    <row r="723" spans="1:13" x14ac:dyDescent="0.35">
      <c r="A723" s="42">
        <v>1312</v>
      </c>
      <c r="B723" s="42" t="s">
        <v>136</v>
      </c>
      <c r="C723" s="42" t="s">
        <v>199</v>
      </c>
      <c r="D723" s="42" t="s">
        <v>159</v>
      </c>
      <c r="E723" s="42" t="s">
        <v>160</v>
      </c>
      <c r="F723" s="42" t="s">
        <v>160</v>
      </c>
      <c r="G723" s="42" t="s">
        <v>141</v>
      </c>
      <c r="H723" s="42" t="s">
        <v>166</v>
      </c>
      <c r="I723" s="42">
        <v>3</v>
      </c>
      <c r="J723" s="43" t="s">
        <v>143</v>
      </c>
      <c r="K723" s="42" t="s">
        <v>78</v>
      </c>
      <c r="L723" s="42" t="s">
        <v>335</v>
      </c>
      <c r="M723" s="44" t="s">
        <v>1033</v>
      </c>
    </row>
    <row r="724" spans="1:13" x14ac:dyDescent="0.35">
      <c r="A724" s="42">
        <v>1312</v>
      </c>
      <c r="B724" s="42" t="s">
        <v>136</v>
      </c>
      <c r="C724" s="42" t="s">
        <v>199</v>
      </c>
      <c r="D724" s="42" t="s">
        <v>159</v>
      </c>
      <c r="E724" s="42" t="s">
        <v>160</v>
      </c>
      <c r="F724" s="42" t="s">
        <v>160</v>
      </c>
      <c r="G724" s="42" t="s">
        <v>141</v>
      </c>
      <c r="H724" s="42" t="s">
        <v>183</v>
      </c>
      <c r="I724" s="42">
        <v>5</v>
      </c>
      <c r="J724" s="43" t="s">
        <v>143</v>
      </c>
      <c r="K724" s="42" t="s">
        <v>190</v>
      </c>
      <c r="L724" s="42" t="s">
        <v>190</v>
      </c>
      <c r="M724" s="44" t="s">
        <v>1034</v>
      </c>
    </row>
    <row r="725" spans="1:13" x14ac:dyDescent="0.35">
      <c r="A725" s="42">
        <v>1312</v>
      </c>
      <c r="B725" s="42" t="s">
        <v>136</v>
      </c>
      <c r="C725" s="42" t="s">
        <v>199</v>
      </c>
      <c r="D725" s="42" t="s">
        <v>159</v>
      </c>
      <c r="E725" s="42" t="s">
        <v>160</v>
      </c>
      <c r="F725" s="42" t="s">
        <v>160</v>
      </c>
      <c r="G725" s="42" t="s">
        <v>141</v>
      </c>
      <c r="H725" s="42" t="s">
        <v>146</v>
      </c>
      <c r="I725" s="42">
        <v>7</v>
      </c>
      <c r="J725" s="46" t="s">
        <v>222</v>
      </c>
      <c r="K725" s="42" t="s">
        <v>210</v>
      </c>
      <c r="L725" s="42" t="s">
        <v>210</v>
      </c>
      <c r="M725" s="44" t="s">
        <v>1035</v>
      </c>
    </row>
    <row r="726" spans="1:13" x14ac:dyDescent="0.35">
      <c r="A726" s="42">
        <v>1312</v>
      </c>
      <c r="B726" s="42" t="s">
        <v>136</v>
      </c>
      <c r="C726" s="42" t="s">
        <v>199</v>
      </c>
      <c r="D726" s="42" t="s">
        <v>159</v>
      </c>
      <c r="E726" s="42" t="s">
        <v>160</v>
      </c>
      <c r="F726" s="42" t="s">
        <v>160</v>
      </c>
      <c r="G726" s="42" t="s">
        <v>141</v>
      </c>
      <c r="H726" s="42" t="s">
        <v>150</v>
      </c>
      <c r="I726" s="42"/>
      <c r="J726" s="45" t="s">
        <v>147</v>
      </c>
      <c r="K726" s="42" t="s">
        <v>78</v>
      </c>
      <c r="L726" s="42" t="s">
        <v>78</v>
      </c>
      <c r="M726" s="44" t="s">
        <v>1036</v>
      </c>
    </row>
    <row r="727" spans="1:13" x14ac:dyDescent="0.35">
      <c r="A727" s="42">
        <v>1312</v>
      </c>
      <c r="B727" s="42" t="s">
        <v>136</v>
      </c>
      <c r="C727" s="42" t="s">
        <v>199</v>
      </c>
      <c r="D727" s="42" t="s">
        <v>159</v>
      </c>
      <c r="E727" s="42" t="s">
        <v>160</v>
      </c>
      <c r="F727" s="42" t="s">
        <v>160</v>
      </c>
      <c r="G727" s="42" t="s">
        <v>141</v>
      </c>
      <c r="H727" s="42" t="s">
        <v>150</v>
      </c>
      <c r="I727" s="42"/>
      <c r="J727" s="45" t="s">
        <v>147</v>
      </c>
      <c r="K727" s="42" t="s">
        <v>196</v>
      </c>
      <c r="L727" s="42" t="s">
        <v>196</v>
      </c>
      <c r="M727" s="44" t="s">
        <v>1037</v>
      </c>
    </row>
    <row r="728" spans="1:13" x14ac:dyDescent="0.35">
      <c r="A728" s="42">
        <v>1312</v>
      </c>
      <c r="B728" s="42" t="s">
        <v>136</v>
      </c>
      <c r="C728" s="42" t="s">
        <v>199</v>
      </c>
      <c r="D728" s="42" t="s">
        <v>159</v>
      </c>
      <c r="E728" s="42" t="s">
        <v>160</v>
      </c>
      <c r="F728" s="42" t="s">
        <v>160</v>
      </c>
      <c r="G728" s="42" t="s">
        <v>141</v>
      </c>
      <c r="H728" s="42" t="s">
        <v>150</v>
      </c>
      <c r="I728" s="42"/>
      <c r="J728" s="45" t="s">
        <v>147</v>
      </c>
      <c r="K728" s="42" t="s">
        <v>210</v>
      </c>
      <c r="L728" s="42" t="s">
        <v>210</v>
      </c>
      <c r="M728" s="44" t="s">
        <v>1038</v>
      </c>
    </row>
    <row r="729" spans="1:13" x14ac:dyDescent="0.35">
      <c r="A729" s="42">
        <v>1312</v>
      </c>
      <c r="B729" s="42" t="s">
        <v>136</v>
      </c>
      <c r="C729" s="42" t="s">
        <v>199</v>
      </c>
      <c r="D729" s="42" t="s">
        <v>159</v>
      </c>
      <c r="E729" s="42" t="s">
        <v>160</v>
      </c>
      <c r="F729" s="42" t="s">
        <v>160</v>
      </c>
      <c r="G729" s="42" t="s">
        <v>141</v>
      </c>
      <c r="H729" s="42" t="s">
        <v>156</v>
      </c>
      <c r="I729" s="42"/>
      <c r="J729" s="43" t="s">
        <v>143</v>
      </c>
      <c r="K729" s="42" t="s">
        <v>144</v>
      </c>
      <c r="L729" s="42" t="s">
        <v>144</v>
      </c>
      <c r="M729" s="44" t="s">
        <v>1039</v>
      </c>
    </row>
    <row r="730" spans="1:13" x14ac:dyDescent="0.35">
      <c r="A730" s="42">
        <v>1312</v>
      </c>
      <c r="B730" s="42" t="s">
        <v>136</v>
      </c>
      <c r="C730" s="42" t="s">
        <v>199</v>
      </c>
      <c r="D730" s="42" t="s">
        <v>159</v>
      </c>
      <c r="E730" s="42" t="s">
        <v>160</v>
      </c>
      <c r="F730" s="42" t="s">
        <v>160</v>
      </c>
      <c r="G730" s="42" t="s">
        <v>141</v>
      </c>
      <c r="H730" s="42" t="s">
        <v>156</v>
      </c>
      <c r="I730" s="42"/>
      <c r="J730" s="43" t="s">
        <v>143</v>
      </c>
      <c r="K730" s="42" t="s">
        <v>196</v>
      </c>
      <c r="L730" s="42" t="s">
        <v>614</v>
      </c>
      <c r="M730" s="44" t="s">
        <v>1040</v>
      </c>
    </row>
    <row r="731" spans="1:13" x14ac:dyDescent="0.35">
      <c r="A731" s="42">
        <v>1312</v>
      </c>
      <c r="B731" s="42" t="s">
        <v>136</v>
      </c>
      <c r="C731" s="42" t="s">
        <v>199</v>
      </c>
      <c r="D731" s="42" t="s">
        <v>159</v>
      </c>
      <c r="E731" s="42" t="s">
        <v>160</v>
      </c>
      <c r="F731" s="42" t="s">
        <v>160</v>
      </c>
      <c r="G731" s="42" t="s">
        <v>141</v>
      </c>
      <c r="H731" s="42" t="s">
        <v>156</v>
      </c>
      <c r="I731" s="42"/>
      <c r="J731" s="43" t="s">
        <v>143</v>
      </c>
      <c r="K731" s="42" t="s">
        <v>305</v>
      </c>
      <c r="L731" s="42" t="s">
        <v>305</v>
      </c>
      <c r="M731" s="44" t="s">
        <v>1041</v>
      </c>
    </row>
    <row r="732" spans="1:13" ht="25" x14ac:dyDescent="0.35">
      <c r="A732" s="42">
        <v>1324</v>
      </c>
      <c r="B732" s="42" t="s">
        <v>136</v>
      </c>
      <c r="C732" s="42" t="s">
        <v>199</v>
      </c>
      <c r="D732" s="42" t="s">
        <v>159</v>
      </c>
      <c r="E732" s="42" t="s">
        <v>160</v>
      </c>
      <c r="F732" s="42" t="s">
        <v>160</v>
      </c>
      <c r="G732" s="42" t="s">
        <v>141</v>
      </c>
      <c r="H732" s="42" t="s">
        <v>146</v>
      </c>
      <c r="I732" s="42">
        <v>7</v>
      </c>
      <c r="J732" s="46" t="s">
        <v>222</v>
      </c>
      <c r="K732" s="42" t="s">
        <v>190</v>
      </c>
      <c r="L732" s="42" t="s">
        <v>190</v>
      </c>
      <c r="M732" s="44" t="s">
        <v>1042</v>
      </c>
    </row>
    <row r="733" spans="1:13" x14ac:dyDescent="0.35">
      <c r="A733" s="42">
        <v>1324</v>
      </c>
      <c r="B733" s="42" t="s">
        <v>136</v>
      </c>
      <c r="C733" s="42" t="s">
        <v>199</v>
      </c>
      <c r="D733" s="42" t="s">
        <v>159</v>
      </c>
      <c r="E733" s="42" t="s">
        <v>160</v>
      </c>
      <c r="F733" s="42" t="s">
        <v>160</v>
      </c>
      <c r="G733" s="42" t="s">
        <v>141</v>
      </c>
      <c r="H733" s="42" t="s">
        <v>156</v>
      </c>
      <c r="I733" s="42"/>
      <c r="J733" s="43" t="s">
        <v>143</v>
      </c>
      <c r="K733" s="42" t="s">
        <v>196</v>
      </c>
      <c r="L733" s="42" t="s">
        <v>517</v>
      </c>
      <c r="M733" s="44" t="s">
        <v>1043</v>
      </c>
    </row>
    <row r="734" spans="1:13" x14ac:dyDescent="0.35">
      <c r="A734" s="42">
        <v>1324</v>
      </c>
      <c r="B734" s="42" t="s">
        <v>136</v>
      </c>
      <c r="C734" s="42" t="s">
        <v>199</v>
      </c>
      <c r="D734" s="42" t="s">
        <v>159</v>
      </c>
      <c r="E734" s="42" t="s">
        <v>160</v>
      </c>
      <c r="F734" s="42" t="s">
        <v>160</v>
      </c>
      <c r="G734" s="42" t="s">
        <v>141</v>
      </c>
      <c r="H734" s="42" t="s">
        <v>156</v>
      </c>
      <c r="I734" s="42"/>
      <c r="J734" s="43" t="s">
        <v>143</v>
      </c>
      <c r="K734" s="42" t="s">
        <v>78</v>
      </c>
      <c r="L734" s="42" t="s">
        <v>78</v>
      </c>
      <c r="M734" s="44" t="s">
        <v>1044</v>
      </c>
    </row>
    <row r="735" spans="1:13" x14ac:dyDescent="0.35">
      <c r="A735" s="42">
        <v>1324</v>
      </c>
      <c r="B735" s="42" t="s">
        <v>136</v>
      </c>
      <c r="C735" s="42" t="s">
        <v>199</v>
      </c>
      <c r="D735" s="42" t="s">
        <v>159</v>
      </c>
      <c r="E735" s="42" t="s">
        <v>160</v>
      </c>
      <c r="F735" s="42" t="s">
        <v>160</v>
      </c>
      <c r="G735" s="42" t="s">
        <v>141</v>
      </c>
      <c r="H735" s="42" t="s">
        <v>156</v>
      </c>
      <c r="I735" s="42"/>
      <c r="J735" s="43" t="s">
        <v>143</v>
      </c>
      <c r="K735" s="42" t="s">
        <v>84</v>
      </c>
      <c r="L735" s="42" t="s">
        <v>401</v>
      </c>
      <c r="M735" s="44" t="s">
        <v>1045</v>
      </c>
    </row>
    <row r="736" spans="1:13" ht="25" x14ac:dyDescent="0.35">
      <c r="A736" s="42">
        <v>1337</v>
      </c>
      <c r="B736" s="42" t="s">
        <v>136</v>
      </c>
      <c r="C736" s="42" t="s">
        <v>137</v>
      </c>
      <c r="D736" s="42" t="s">
        <v>176</v>
      </c>
      <c r="E736" s="42" t="s">
        <v>160</v>
      </c>
      <c r="F736" s="42" t="s">
        <v>160</v>
      </c>
      <c r="G736" s="42" t="s">
        <v>141</v>
      </c>
      <c r="H736" s="42" t="s">
        <v>163</v>
      </c>
      <c r="I736" s="42"/>
      <c r="J736" s="45" t="s">
        <v>147</v>
      </c>
      <c r="K736" s="42" t="s">
        <v>262</v>
      </c>
      <c r="L736" s="42" t="s">
        <v>263</v>
      </c>
      <c r="M736" s="44" t="s">
        <v>1046</v>
      </c>
    </row>
    <row r="737" spans="1:13" ht="25" x14ac:dyDescent="0.35">
      <c r="A737" s="42">
        <v>1337</v>
      </c>
      <c r="B737" s="42" t="s">
        <v>136</v>
      </c>
      <c r="C737" s="42" t="s">
        <v>137</v>
      </c>
      <c r="D737" s="42" t="s">
        <v>176</v>
      </c>
      <c r="E737" s="42" t="s">
        <v>160</v>
      </c>
      <c r="F737" s="42" t="s">
        <v>160</v>
      </c>
      <c r="G737" s="42" t="s">
        <v>141</v>
      </c>
      <c r="H737" s="42" t="s">
        <v>166</v>
      </c>
      <c r="I737" s="42">
        <v>6</v>
      </c>
      <c r="J737" s="43" t="s">
        <v>143</v>
      </c>
      <c r="K737" s="42" t="s">
        <v>50</v>
      </c>
      <c r="L737" s="42" t="s">
        <v>1047</v>
      </c>
      <c r="M737" s="44" t="s">
        <v>1048</v>
      </c>
    </row>
    <row r="738" spans="1:13" ht="37.5" x14ac:dyDescent="0.35">
      <c r="A738" s="42">
        <v>1337</v>
      </c>
      <c r="B738" s="42" t="s">
        <v>136</v>
      </c>
      <c r="C738" s="42" t="s">
        <v>137</v>
      </c>
      <c r="D738" s="42" t="s">
        <v>176</v>
      </c>
      <c r="E738" s="42" t="s">
        <v>160</v>
      </c>
      <c r="F738" s="42" t="s">
        <v>160</v>
      </c>
      <c r="G738" s="42" t="s">
        <v>141</v>
      </c>
      <c r="H738" s="42" t="s">
        <v>146</v>
      </c>
      <c r="I738" s="42">
        <v>7</v>
      </c>
      <c r="J738" s="46" t="s">
        <v>222</v>
      </c>
      <c r="K738" s="42" t="s">
        <v>262</v>
      </c>
      <c r="L738" s="42" t="s">
        <v>1049</v>
      </c>
      <c r="M738" s="44" t="s">
        <v>1050</v>
      </c>
    </row>
    <row r="739" spans="1:13" x14ac:dyDescent="0.35">
      <c r="A739" s="42">
        <v>1337</v>
      </c>
      <c r="B739" s="42" t="s">
        <v>136</v>
      </c>
      <c r="C739" s="42" t="s">
        <v>137</v>
      </c>
      <c r="D739" s="42" t="s">
        <v>176</v>
      </c>
      <c r="E739" s="42" t="s">
        <v>160</v>
      </c>
      <c r="F739" s="42" t="s">
        <v>160</v>
      </c>
      <c r="G739" s="42" t="s">
        <v>141</v>
      </c>
      <c r="H739" s="42" t="s">
        <v>150</v>
      </c>
      <c r="I739" s="42"/>
      <c r="J739" s="45" t="s">
        <v>147</v>
      </c>
      <c r="K739" s="42" t="s">
        <v>144</v>
      </c>
      <c r="L739" s="42" t="s">
        <v>144</v>
      </c>
      <c r="M739" s="44" t="s">
        <v>1051</v>
      </c>
    </row>
    <row r="740" spans="1:13" x14ac:dyDescent="0.35">
      <c r="A740" s="42">
        <v>1337</v>
      </c>
      <c r="B740" s="42" t="s">
        <v>136</v>
      </c>
      <c r="C740" s="42" t="s">
        <v>137</v>
      </c>
      <c r="D740" s="42" t="s">
        <v>176</v>
      </c>
      <c r="E740" s="42" t="s">
        <v>160</v>
      </c>
      <c r="F740" s="42" t="s">
        <v>160</v>
      </c>
      <c r="G740" s="42" t="s">
        <v>141</v>
      </c>
      <c r="H740" s="42" t="s">
        <v>150</v>
      </c>
      <c r="I740" s="42"/>
      <c r="J740" s="45" t="s">
        <v>147</v>
      </c>
      <c r="K740" s="42" t="s">
        <v>144</v>
      </c>
      <c r="L740" s="42" t="s">
        <v>144</v>
      </c>
      <c r="M740" s="44" t="s">
        <v>1052</v>
      </c>
    </row>
    <row r="741" spans="1:13" x14ac:dyDescent="0.35">
      <c r="A741" s="42">
        <v>1337</v>
      </c>
      <c r="B741" s="42" t="s">
        <v>136</v>
      </c>
      <c r="C741" s="42" t="s">
        <v>137</v>
      </c>
      <c r="D741" s="42" t="s">
        <v>176</v>
      </c>
      <c r="E741" s="42" t="s">
        <v>160</v>
      </c>
      <c r="F741" s="42" t="s">
        <v>160</v>
      </c>
      <c r="G741" s="42" t="s">
        <v>141</v>
      </c>
      <c r="H741" s="42" t="s">
        <v>150</v>
      </c>
      <c r="I741" s="42"/>
      <c r="J741" s="45" t="s">
        <v>147</v>
      </c>
      <c r="K741" s="42" t="s">
        <v>210</v>
      </c>
      <c r="L741" s="42" t="s">
        <v>210</v>
      </c>
      <c r="M741" s="44" t="s">
        <v>1053</v>
      </c>
    </row>
    <row r="742" spans="1:13" x14ac:dyDescent="0.35">
      <c r="A742" s="42">
        <v>1337</v>
      </c>
      <c r="B742" s="42" t="s">
        <v>136</v>
      </c>
      <c r="C742" s="42" t="s">
        <v>137</v>
      </c>
      <c r="D742" s="42" t="s">
        <v>176</v>
      </c>
      <c r="E742" s="42" t="s">
        <v>160</v>
      </c>
      <c r="F742" s="42" t="s">
        <v>160</v>
      </c>
      <c r="G742" s="42" t="s">
        <v>141</v>
      </c>
      <c r="H742" s="42" t="s">
        <v>156</v>
      </c>
      <c r="I742" s="42"/>
      <c r="J742" s="43" t="s">
        <v>143</v>
      </c>
      <c r="K742" s="42" t="s">
        <v>268</v>
      </c>
      <c r="L742" s="42" t="s">
        <v>268</v>
      </c>
      <c r="M742" s="44" t="s">
        <v>649</v>
      </c>
    </row>
    <row r="743" spans="1:13" x14ac:dyDescent="0.35">
      <c r="A743" s="42">
        <v>1337</v>
      </c>
      <c r="B743" s="42" t="s">
        <v>136</v>
      </c>
      <c r="C743" s="42" t="s">
        <v>137</v>
      </c>
      <c r="D743" s="42" t="s">
        <v>176</v>
      </c>
      <c r="E743" s="42" t="s">
        <v>160</v>
      </c>
      <c r="F743" s="42" t="s">
        <v>160</v>
      </c>
      <c r="G743" s="42" t="s">
        <v>141</v>
      </c>
      <c r="H743" s="42" t="s">
        <v>156</v>
      </c>
      <c r="I743" s="42"/>
      <c r="J743" s="43" t="s">
        <v>143</v>
      </c>
      <c r="K743" s="42" t="s">
        <v>84</v>
      </c>
      <c r="L743" s="42" t="s">
        <v>401</v>
      </c>
      <c r="M743" s="44" t="s">
        <v>1054</v>
      </c>
    </row>
    <row r="744" spans="1:13" x14ac:dyDescent="0.35">
      <c r="A744" s="42">
        <v>1337</v>
      </c>
      <c r="B744" s="42" t="s">
        <v>136</v>
      </c>
      <c r="C744" s="42" t="s">
        <v>137</v>
      </c>
      <c r="D744" s="42" t="s">
        <v>176</v>
      </c>
      <c r="E744" s="42" t="s">
        <v>160</v>
      </c>
      <c r="F744" s="42" t="s">
        <v>160</v>
      </c>
      <c r="G744" s="42" t="s">
        <v>141</v>
      </c>
      <c r="H744" s="42" t="s">
        <v>156</v>
      </c>
      <c r="I744" s="42"/>
      <c r="J744" s="43" t="s">
        <v>143</v>
      </c>
      <c r="K744" s="42" t="s">
        <v>50</v>
      </c>
      <c r="L744" s="42" t="s">
        <v>50</v>
      </c>
      <c r="M744" s="44" t="s">
        <v>50</v>
      </c>
    </row>
    <row r="745" spans="1:13" x14ac:dyDescent="0.35">
      <c r="A745" s="42">
        <v>1123</v>
      </c>
      <c r="B745" s="42" t="s">
        <v>136</v>
      </c>
      <c r="C745" s="42" t="s">
        <v>199</v>
      </c>
      <c r="D745" s="42" t="s">
        <v>159</v>
      </c>
      <c r="E745" s="42" t="s">
        <v>274</v>
      </c>
      <c r="F745" s="42" t="s">
        <v>140</v>
      </c>
      <c r="G745" s="42" t="s">
        <v>141</v>
      </c>
      <c r="H745" s="42" t="s">
        <v>163</v>
      </c>
      <c r="I745" s="42"/>
      <c r="J745" s="45" t="s">
        <v>147</v>
      </c>
      <c r="K745" s="42" t="s">
        <v>196</v>
      </c>
      <c r="L745" s="42" t="s">
        <v>196</v>
      </c>
      <c r="M745" s="44" t="s">
        <v>1055</v>
      </c>
    </row>
    <row r="746" spans="1:13" x14ac:dyDescent="0.35">
      <c r="A746" s="42">
        <v>1123</v>
      </c>
      <c r="B746" s="42" t="s">
        <v>136</v>
      </c>
      <c r="C746" s="42" t="s">
        <v>199</v>
      </c>
      <c r="D746" s="42" t="s">
        <v>159</v>
      </c>
      <c r="E746" s="42" t="s">
        <v>274</v>
      </c>
      <c r="F746" s="42" t="s">
        <v>140</v>
      </c>
      <c r="G746" s="42" t="s">
        <v>141</v>
      </c>
      <c r="H746" s="42" t="s">
        <v>177</v>
      </c>
      <c r="I746" s="42">
        <v>6</v>
      </c>
      <c r="J746" s="43" t="s">
        <v>143</v>
      </c>
      <c r="K746" s="42" t="s">
        <v>53</v>
      </c>
      <c r="L746" s="42" t="s">
        <v>440</v>
      </c>
      <c r="M746" s="44" t="s">
        <v>1056</v>
      </c>
    </row>
    <row r="747" spans="1:13" x14ac:dyDescent="0.35">
      <c r="A747" s="42">
        <v>1123</v>
      </c>
      <c r="B747" s="42" t="s">
        <v>136</v>
      </c>
      <c r="C747" s="42" t="s">
        <v>199</v>
      </c>
      <c r="D747" s="42" t="s">
        <v>159</v>
      </c>
      <c r="E747" s="42" t="s">
        <v>274</v>
      </c>
      <c r="F747" s="42" t="s">
        <v>140</v>
      </c>
      <c r="G747" s="42" t="s">
        <v>141</v>
      </c>
      <c r="H747" s="42" t="s">
        <v>146</v>
      </c>
      <c r="I747" s="42">
        <v>8</v>
      </c>
      <c r="J747" s="46" t="s">
        <v>222</v>
      </c>
      <c r="K747" s="42" t="s">
        <v>190</v>
      </c>
      <c r="L747" s="42" t="s">
        <v>190</v>
      </c>
      <c r="M747" s="44" t="s">
        <v>1057</v>
      </c>
    </row>
    <row r="748" spans="1:13" x14ac:dyDescent="0.35">
      <c r="A748" s="42">
        <v>1123</v>
      </c>
      <c r="B748" s="42" t="s">
        <v>136</v>
      </c>
      <c r="C748" s="42" t="s">
        <v>199</v>
      </c>
      <c r="D748" s="42" t="s">
        <v>159</v>
      </c>
      <c r="E748" s="42" t="s">
        <v>274</v>
      </c>
      <c r="F748" s="42" t="s">
        <v>140</v>
      </c>
      <c r="G748" s="42" t="s">
        <v>141</v>
      </c>
      <c r="H748" s="42" t="s">
        <v>150</v>
      </c>
      <c r="I748" s="42"/>
      <c r="J748" s="45" t="s">
        <v>147</v>
      </c>
      <c r="K748" s="42" t="s">
        <v>196</v>
      </c>
      <c r="L748" s="42" t="s">
        <v>196</v>
      </c>
      <c r="M748" s="44" t="s">
        <v>1058</v>
      </c>
    </row>
    <row r="749" spans="1:13" x14ac:dyDescent="0.35">
      <c r="A749" s="42">
        <v>1123</v>
      </c>
      <c r="B749" s="42" t="s">
        <v>136</v>
      </c>
      <c r="C749" s="42" t="s">
        <v>199</v>
      </c>
      <c r="D749" s="42" t="s">
        <v>159</v>
      </c>
      <c r="E749" s="42" t="s">
        <v>274</v>
      </c>
      <c r="F749" s="42" t="s">
        <v>140</v>
      </c>
      <c r="G749" s="42" t="s">
        <v>141</v>
      </c>
      <c r="H749" s="42" t="s">
        <v>150</v>
      </c>
      <c r="I749" s="42"/>
      <c r="J749" s="45" t="s">
        <v>147</v>
      </c>
      <c r="K749" s="42" t="s">
        <v>78</v>
      </c>
      <c r="L749" s="42" t="s">
        <v>78</v>
      </c>
      <c r="M749" s="44" t="s">
        <v>1059</v>
      </c>
    </row>
    <row r="750" spans="1:13" x14ac:dyDescent="0.35">
      <c r="A750" s="42">
        <v>1123</v>
      </c>
      <c r="B750" s="42" t="s">
        <v>136</v>
      </c>
      <c r="C750" s="42" t="s">
        <v>199</v>
      </c>
      <c r="D750" s="42" t="s">
        <v>159</v>
      </c>
      <c r="E750" s="42" t="s">
        <v>274</v>
      </c>
      <c r="F750" s="42" t="s">
        <v>140</v>
      </c>
      <c r="G750" s="42" t="s">
        <v>141</v>
      </c>
      <c r="H750" s="42" t="s">
        <v>150</v>
      </c>
      <c r="I750" s="42"/>
      <c r="J750" s="45" t="s">
        <v>147</v>
      </c>
      <c r="K750" s="42" t="s">
        <v>210</v>
      </c>
      <c r="L750" s="42" t="s">
        <v>210</v>
      </c>
      <c r="M750" s="44" t="s">
        <v>1060</v>
      </c>
    </row>
    <row r="751" spans="1:13" x14ac:dyDescent="0.35">
      <c r="A751" s="42">
        <v>1123</v>
      </c>
      <c r="B751" s="42" t="s">
        <v>136</v>
      </c>
      <c r="C751" s="42" t="s">
        <v>199</v>
      </c>
      <c r="D751" s="42" t="s">
        <v>159</v>
      </c>
      <c r="E751" s="42" t="s">
        <v>274</v>
      </c>
      <c r="F751" s="42" t="s">
        <v>140</v>
      </c>
      <c r="G751" s="42" t="s">
        <v>141</v>
      </c>
      <c r="H751" s="42" t="s">
        <v>156</v>
      </c>
      <c r="I751" s="42"/>
      <c r="J751" s="43" t="s">
        <v>143</v>
      </c>
      <c r="K751" s="42" t="s">
        <v>53</v>
      </c>
      <c r="L751" s="42" t="s">
        <v>289</v>
      </c>
      <c r="M751" s="44" t="s">
        <v>1061</v>
      </c>
    </row>
    <row r="752" spans="1:13" x14ac:dyDescent="0.35">
      <c r="A752" s="42">
        <v>1129</v>
      </c>
      <c r="B752" s="42" t="s">
        <v>136</v>
      </c>
      <c r="C752" s="42" t="s">
        <v>137</v>
      </c>
      <c r="D752" s="42" t="s">
        <v>159</v>
      </c>
      <c r="E752" s="42" t="s">
        <v>206</v>
      </c>
      <c r="F752" s="42" t="s">
        <v>206</v>
      </c>
      <c r="G752" s="42" t="s">
        <v>141</v>
      </c>
      <c r="H752" s="42" t="s">
        <v>177</v>
      </c>
      <c r="I752" s="42">
        <v>5</v>
      </c>
      <c r="J752" s="43" t="s">
        <v>143</v>
      </c>
      <c r="K752" s="42" t="s">
        <v>196</v>
      </c>
      <c r="L752" s="42" t="s">
        <v>196</v>
      </c>
      <c r="M752" s="44" t="s">
        <v>1062</v>
      </c>
    </row>
    <row r="753" spans="1:13" ht="37.5" x14ac:dyDescent="0.35">
      <c r="A753" s="42">
        <v>1129</v>
      </c>
      <c r="B753" s="42" t="s">
        <v>136</v>
      </c>
      <c r="C753" s="42" t="s">
        <v>137</v>
      </c>
      <c r="D753" s="42" t="s">
        <v>159</v>
      </c>
      <c r="E753" s="42" t="s">
        <v>206</v>
      </c>
      <c r="F753" s="42" t="s">
        <v>206</v>
      </c>
      <c r="G753" s="42" t="s">
        <v>141</v>
      </c>
      <c r="H753" s="42" t="s">
        <v>146</v>
      </c>
      <c r="I753" s="42">
        <v>8</v>
      </c>
      <c r="J753" s="46" t="s">
        <v>222</v>
      </c>
      <c r="K753" s="42" t="s">
        <v>196</v>
      </c>
      <c r="L753" s="42" t="s">
        <v>1063</v>
      </c>
      <c r="M753" s="44" t="s">
        <v>1064</v>
      </c>
    </row>
    <row r="754" spans="1:13" x14ac:dyDescent="0.35">
      <c r="A754" s="42">
        <v>1129</v>
      </c>
      <c r="B754" s="42" t="s">
        <v>136</v>
      </c>
      <c r="C754" s="42" t="s">
        <v>137</v>
      </c>
      <c r="D754" s="42" t="s">
        <v>159</v>
      </c>
      <c r="E754" s="42" t="s">
        <v>206</v>
      </c>
      <c r="F754" s="42" t="s">
        <v>206</v>
      </c>
      <c r="G754" s="42" t="s">
        <v>141</v>
      </c>
      <c r="H754" s="42" t="s">
        <v>150</v>
      </c>
      <c r="I754" s="42"/>
      <c r="J754" s="45" t="s">
        <v>147</v>
      </c>
      <c r="K754" s="42" t="s">
        <v>144</v>
      </c>
      <c r="L754" s="42" t="s">
        <v>250</v>
      </c>
      <c r="M754" s="44" t="s">
        <v>1065</v>
      </c>
    </row>
    <row r="755" spans="1:13" x14ac:dyDescent="0.35">
      <c r="A755" s="42">
        <v>1129</v>
      </c>
      <c r="B755" s="42" t="s">
        <v>136</v>
      </c>
      <c r="C755" s="42" t="s">
        <v>137</v>
      </c>
      <c r="D755" s="42" t="s">
        <v>159</v>
      </c>
      <c r="E755" s="42" t="s">
        <v>206</v>
      </c>
      <c r="F755" s="42" t="s">
        <v>206</v>
      </c>
      <c r="G755" s="42" t="s">
        <v>141</v>
      </c>
      <c r="H755" s="42" t="s">
        <v>150</v>
      </c>
      <c r="I755" s="42"/>
      <c r="J755" s="45" t="s">
        <v>147</v>
      </c>
      <c r="K755" s="42" t="s">
        <v>187</v>
      </c>
      <c r="L755" s="42" t="s">
        <v>364</v>
      </c>
      <c r="M755" s="44" t="s">
        <v>1066</v>
      </c>
    </row>
    <row r="756" spans="1:13" x14ac:dyDescent="0.35">
      <c r="A756" s="42">
        <v>1129</v>
      </c>
      <c r="B756" s="42" t="s">
        <v>136</v>
      </c>
      <c r="C756" s="42" t="s">
        <v>137</v>
      </c>
      <c r="D756" s="42" t="s">
        <v>159</v>
      </c>
      <c r="E756" s="42" t="s">
        <v>206</v>
      </c>
      <c r="F756" s="42" t="s">
        <v>206</v>
      </c>
      <c r="G756" s="42" t="s">
        <v>141</v>
      </c>
      <c r="H756" s="42" t="s">
        <v>150</v>
      </c>
      <c r="I756" s="42"/>
      <c r="J756" s="45" t="s">
        <v>147</v>
      </c>
      <c r="K756" s="42" t="s">
        <v>181</v>
      </c>
      <c r="L756" s="42" t="s">
        <v>181</v>
      </c>
      <c r="M756" s="44" t="s">
        <v>1067</v>
      </c>
    </row>
    <row r="757" spans="1:13" x14ac:dyDescent="0.35">
      <c r="A757" s="42">
        <v>1129</v>
      </c>
      <c r="B757" s="42" t="s">
        <v>136</v>
      </c>
      <c r="C757" s="42" t="s">
        <v>137</v>
      </c>
      <c r="D757" s="42" t="s">
        <v>159</v>
      </c>
      <c r="E757" s="42" t="s">
        <v>206</v>
      </c>
      <c r="F757" s="42" t="s">
        <v>206</v>
      </c>
      <c r="G757" s="42" t="s">
        <v>141</v>
      </c>
      <c r="H757" s="42" t="s">
        <v>156</v>
      </c>
      <c r="I757" s="42"/>
      <c r="J757" s="43" t="s">
        <v>143</v>
      </c>
      <c r="K757" s="42" t="s">
        <v>196</v>
      </c>
      <c r="L757" s="42" t="s">
        <v>196</v>
      </c>
      <c r="M757" s="44" t="s">
        <v>1068</v>
      </c>
    </row>
    <row r="758" spans="1:13" x14ac:dyDescent="0.35">
      <c r="A758" s="42">
        <v>1129</v>
      </c>
      <c r="B758" s="42" t="s">
        <v>136</v>
      </c>
      <c r="C758" s="42" t="s">
        <v>137</v>
      </c>
      <c r="D758" s="42" t="s">
        <v>159</v>
      </c>
      <c r="E758" s="42" t="s">
        <v>206</v>
      </c>
      <c r="F758" s="42" t="s">
        <v>206</v>
      </c>
      <c r="G758" s="42" t="s">
        <v>141</v>
      </c>
      <c r="H758" s="42" t="s">
        <v>156</v>
      </c>
      <c r="I758" s="42"/>
      <c r="J758" s="43" t="s">
        <v>143</v>
      </c>
      <c r="K758" s="42" t="s">
        <v>210</v>
      </c>
      <c r="L758" s="42" t="s">
        <v>210</v>
      </c>
      <c r="M758" s="44" t="s">
        <v>1069</v>
      </c>
    </row>
    <row r="759" spans="1:13" ht="37.5" x14ac:dyDescent="0.35">
      <c r="A759" s="42">
        <v>1129</v>
      </c>
      <c r="B759" s="42" t="s">
        <v>136</v>
      </c>
      <c r="C759" s="42" t="s">
        <v>137</v>
      </c>
      <c r="D759" s="42" t="s">
        <v>159</v>
      </c>
      <c r="E759" s="42" t="s">
        <v>206</v>
      </c>
      <c r="F759" s="42" t="s">
        <v>206</v>
      </c>
      <c r="G759" s="42" t="s">
        <v>141</v>
      </c>
      <c r="H759" s="42" t="s">
        <v>156</v>
      </c>
      <c r="I759" s="42"/>
      <c r="J759" s="43" t="s">
        <v>143</v>
      </c>
      <c r="K759" s="42" t="s">
        <v>50</v>
      </c>
      <c r="L759" s="42" t="s">
        <v>1070</v>
      </c>
      <c r="M759" s="44" t="s">
        <v>1071</v>
      </c>
    </row>
    <row r="760" spans="1:13" ht="37.5" x14ac:dyDescent="0.35">
      <c r="A760" s="42">
        <v>1340</v>
      </c>
      <c r="B760" s="42" t="s">
        <v>136</v>
      </c>
      <c r="C760" s="42" t="s">
        <v>137</v>
      </c>
      <c r="D760" s="42" t="s">
        <v>159</v>
      </c>
      <c r="E760" s="42" t="s">
        <v>160</v>
      </c>
      <c r="F760" s="42" t="s">
        <v>160</v>
      </c>
      <c r="G760" s="42" t="s">
        <v>141</v>
      </c>
      <c r="H760" s="42" t="s">
        <v>166</v>
      </c>
      <c r="I760" s="42">
        <v>4</v>
      </c>
      <c r="J760" s="43" t="s">
        <v>143</v>
      </c>
      <c r="K760" s="42" t="s">
        <v>196</v>
      </c>
      <c r="L760" s="42" t="s">
        <v>196</v>
      </c>
      <c r="M760" s="44" t="s">
        <v>1072</v>
      </c>
    </row>
    <row r="761" spans="1:13" ht="25" x14ac:dyDescent="0.35">
      <c r="A761" s="42">
        <v>1340</v>
      </c>
      <c r="B761" s="42" t="s">
        <v>136</v>
      </c>
      <c r="C761" s="42" t="s">
        <v>137</v>
      </c>
      <c r="D761" s="42" t="s">
        <v>159</v>
      </c>
      <c r="E761" s="42" t="s">
        <v>160</v>
      </c>
      <c r="F761" s="42" t="s">
        <v>160</v>
      </c>
      <c r="G761" s="42" t="s">
        <v>141</v>
      </c>
      <c r="H761" s="42" t="s">
        <v>146</v>
      </c>
      <c r="I761" s="42">
        <v>7</v>
      </c>
      <c r="J761" s="46" t="s">
        <v>222</v>
      </c>
      <c r="K761" s="42" t="s">
        <v>78</v>
      </c>
      <c r="L761" s="42" t="s">
        <v>335</v>
      </c>
      <c r="M761" s="44" t="s">
        <v>1073</v>
      </c>
    </row>
    <row r="762" spans="1:13" x14ac:dyDescent="0.35">
      <c r="A762" s="42">
        <v>1340</v>
      </c>
      <c r="B762" s="42" t="s">
        <v>136</v>
      </c>
      <c r="C762" s="42" t="s">
        <v>137</v>
      </c>
      <c r="D762" s="42" t="s">
        <v>159</v>
      </c>
      <c r="E762" s="42" t="s">
        <v>160</v>
      </c>
      <c r="F762" s="42" t="s">
        <v>160</v>
      </c>
      <c r="G762" s="42" t="s">
        <v>141</v>
      </c>
      <c r="H762" s="42" t="s">
        <v>150</v>
      </c>
      <c r="I762" s="42"/>
      <c r="J762" s="45" t="s">
        <v>147</v>
      </c>
      <c r="K762" s="42" t="s">
        <v>210</v>
      </c>
      <c r="L762" s="42" t="s">
        <v>210</v>
      </c>
      <c r="M762" s="44" t="s">
        <v>1074</v>
      </c>
    </row>
    <row r="763" spans="1:13" x14ac:dyDescent="0.35">
      <c r="A763" s="42">
        <v>1340</v>
      </c>
      <c r="B763" s="42" t="s">
        <v>136</v>
      </c>
      <c r="C763" s="42" t="s">
        <v>137</v>
      </c>
      <c r="D763" s="42" t="s">
        <v>159</v>
      </c>
      <c r="E763" s="42" t="s">
        <v>160</v>
      </c>
      <c r="F763" s="42" t="s">
        <v>160</v>
      </c>
      <c r="G763" s="42" t="s">
        <v>141</v>
      </c>
      <c r="H763" s="42" t="s">
        <v>150</v>
      </c>
      <c r="I763" s="42"/>
      <c r="J763" s="45" t="s">
        <v>147</v>
      </c>
      <c r="K763" s="42" t="s">
        <v>181</v>
      </c>
      <c r="L763" s="42" t="s">
        <v>181</v>
      </c>
      <c r="M763" s="44" t="s">
        <v>300</v>
      </c>
    </row>
    <row r="764" spans="1:13" x14ac:dyDescent="0.35">
      <c r="A764" s="42">
        <v>1340</v>
      </c>
      <c r="B764" s="42" t="s">
        <v>136</v>
      </c>
      <c r="C764" s="42" t="s">
        <v>137</v>
      </c>
      <c r="D764" s="42" t="s">
        <v>159</v>
      </c>
      <c r="E764" s="42" t="s">
        <v>160</v>
      </c>
      <c r="F764" s="42" t="s">
        <v>160</v>
      </c>
      <c r="G764" s="42" t="s">
        <v>141</v>
      </c>
      <c r="H764" s="42" t="s">
        <v>150</v>
      </c>
      <c r="I764" s="42"/>
      <c r="J764" s="45" t="s">
        <v>147</v>
      </c>
      <c r="K764" s="42" t="s">
        <v>144</v>
      </c>
      <c r="L764" s="42" t="s">
        <v>144</v>
      </c>
      <c r="M764" s="44" t="s">
        <v>1075</v>
      </c>
    </row>
    <row r="765" spans="1:13" ht="25" x14ac:dyDescent="0.35">
      <c r="A765" s="42">
        <v>1340</v>
      </c>
      <c r="B765" s="42" t="s">
        <v>136</v>
      </c>
      <c r="C765" s="42" t="s">
        <v>137</v>
      </c>
      <c r="D765" s="42" t="s">
        <v>159</v>
      </c>
      <c r="E765" s="42" t="s">
        <v>160</v>
      </c>
      <c r="F765" s="42" t="s">
        <v>160</v>
      </c>
      <c r="G765" s="42" t="s">
        <v>141</v>
      </c>
      <c r="H765" s="42" t="s">
        <v>156</v>
      </c>
      <c r="I765" s="42"/>
      <c r="J765" s="43" t="s">
        <v>143</v>
      </c>
      <c r="K765" s="42" t="s">
        <v>78</v>
      </c>
      <c r="L765" s="42" t="s">
        <v>335</v>
      </c>
      <c r="M765" s="44" t="s">
        <v>1076</v>
      </c>
    </row>
    <row r="766" spans="1:13" ht="50" x14ac:dyDescent="0.35">
      <c r="A766" s="42">
        <v>1133</v>
      </c>
      <c r="B766" s="42" t="s">
        <v>136</v>
      </c>
      <c r="C766" s="42" t="s">
        <v>199</v>
      </c>
      <c r="D766" s="42" t="s">
        <v>159</v>
      </c>
      <c r="E766" s="42" t="s">
        <v>206</v>
      </c>
      <c r="F766" s="42" t="s">
        <v>206</v>
      </c>
      <c r="G766" s="42" t="s">
        <v>141</v>
      </c>
      <c r="H766" s="42" t="s">
        <v>142</v>
      </c>
      <c r="I766" s="42">
        <v>6</v>
      </c>
      <c r="J766" s="43" t="s">
        <v>143</v>
      </c>
      <c r="K766" s="42" t="s">
        <v>144</v>
      </c>
      <c r="L766" s="42" t="s">
        <v>1077</v>
      </c>
      <c r="M766" s="44" t="s">
        <v>1078</v>
      </c>
    </row>
    <row r="767" spans="1:13" ht="25" x14ac:dyDescent="0.35">
      <c r="A767" s="42">
        <v>1133</v>
      </c>
      <c r="B767" s="42" t="s">
        <v>136</v>
      </c>
      <c r="C767" s="42" t="s">
        <v>199</v>
      </c>
      <c r="D767" s="42" t="s">
        <v>159</v>
      </c>
      <c r="E767" s="42" t="s">
        <v>206</v>
      </c>
      <c r="F767" s="42" t="s">
        <v>206</v>
      </c>
      <c r="G767" s="42" t="s">
        <v>141</v>
      </c>
      <c r="H767" s="42" t="s">
        <v>163</v>
      </c>
      <c r="I767" s="42"/>
      <c r="J767" s="46" t="s">
        <v>222</v>
      </c>
      <c r="K767" s="42" t="s">
        <v>144</v>
      </c>
      <c r="L767" s="42" t="s">
        <v>1079</v>
      </c>
      <c r="M767" s="44" t="s">
        <v>1080</v>
      </c>
    </row>
    <row r="768" spans="1:13" x14ac:dyDescent="0.35">
      <c r="A768" s="42">
        <v>1133</v>
      </c>
      <c r="B768" s="42" t="s">
        <v>136</v>
      </c>
      <c r="C768" s="42" t="s">
        <v>199</v>
      </c>
      <c r="D768" s="42" t="s">
        <v>159</v>
      </c>
      <c r="E768" s="42" t="s">
        <v>206</v>
      </c>
      <c r="F768" s="42" t="s">
        <v>206</v>
      </c>
      <c r="G768" s="42" t="s">
        <v>141</v>
      </c>
      <c r="H768" s="42" t="s">
        <v>177</v>
      </c>
      <c r="I768" s="42">
        <v>6</v>
      </c>
      <c r="J768" s="43" t="s">
        <v>143</v>
      </c>
      <c r="K768" s="42" t="s">
        <v>196</v>
      </c>
      <c r="L768" s="42" t="s">
        <v>196</v>
      </c>
      <c r="M768" s="44" t="s">
        <v>1081</v>
      </c>
    </row>
    <row r="769" spans="1:13" ht="37.5" x14ac:dyDescent="0.35">
      <c r="A769" s="42">
        <v>1133</v>
      </c>
      <c r="B769" s="42" t="s">
        <v>136</v>
      </c>
      <c r="C769" s="42" t="s">
        <v>199</v>
      </c>
      <c r="D769" s="42" t="s">
        <v>159</v>
      </c>
      <c r="E769" s="42" t="s">
        <v>206</v>
      </c>
      <c r="F769" s="42" t="s">
        <v>206</v>
      </c>
      <c r="G769" s="42" t="s">
        <v>141</v>
      </c>
      <c r="H769" s="42" t="s">
        <v>166</v>
      </c>
      <c r="I769" s="42">
        <v>6</v>
      </c>
      <c r="J769" s="43" t="s">
        <v>143</v>
      </c>
      <c r="K769" s="42" t="s">
        <v>50</v>
      </c>
      <c r="L769" s="42" t="s">
        <v>348</v>
      </c>
      <c r="M769" s="44" t="s">
        <v>1082</v>
      </c>
    </row>
    <row r="770" spans="1:13" ht="25" x14ac:dyDescent="0.35">
      <c r="A770" s="42">
        <v>1133</v>
      </c>
      <c r="B770" s="42" t="s">
        <v>136</v>
      </c>
      <c r="C770" s="42" t="s">
        <v>199</v>
      </c>
      <c r="D770" s="42" t="s">
        <v>159</v>
      </c>
      <c r="E770" s="42" t="s">
        <v>206</v>
      </c>
      <c r="F770" s="42" t="s">
        <v>206</v>
      </c>
      <c r="G770" s="42" t="s">
        <v>141</v>
      </c>
      <c r="H770" s="42" t="s">
        <v>146</v>
      </c>
      <c r="I770" s="42">
        <v>6</v>
      </c>
      <c r="J770" s="43" t="s">
        <v>143</v>
      </c>
      <c r="K770" s="42" t="s">
        <v>305</v>
      </c>
      <c r="L770" s="42" t="s">
        <v>1083</v>
      </c>
      <c r="M770" s="44" t="s">
        <v>1084</v>
      </c>
    </row>
    <row r="771" spans="1:13" x14ac:dyDescent="0.35">
      <c r="A771" s="42">
        <v>1133</v>
      </c>
      <c r="B771" s="42" t="s">
        <v>136</v>
      </c>
      <c r="C771" s="42" t="s">
        <v>199</v>
      </c>
      <c r="D771" s="42" t="s">
        <v>159</v>
      </c>
      <c r="E771" s="42" t="s">
        <v>206</v>
      </c>
      <c r="F771" s="42" t="s">
        <v>206</v>
      </c>
      <c r="G771" s="42" t="s">
        <v>141</v>
      </c>
      <c r="H771" s="42" t="s">
        <v>156</v>
      </c>
      <c r="I771" s="42"/>
      <c r="J771" s="43" t="s">
        <v>143</v>
      </c>
      <c r="K771" s="42" t="s">
        <v>144</v>
      </c>
      <c r="L771" s="42" t="s">
        <v>144</v>
      </c>
      <c r="M771" s="44" t="s">
        <v>1085</v>
      </c>
    </row>
    <row r="772" spans="1:13" x14ac:dyDescent="0.35">
      <c r="A772" s="42">
        <v>1133</v>
      </c>
      <c r="B772" s="42" t="s">
        <v>136</v>
      </c>
      <c r="C772" s="42" t="s">
        <v>199</v>
      </c>
      <c r="D772" s="42" t="s">
        <v>159</v>
      </c>
      <c r="E772" s="42" t="s">
        <v>206</v>
      </c>
      <c r="F772" s="42" t="s">
        <v>206</v>
      </c>
      <c r="G772" s="42" t="s">
        <v>141</v>
      </c>
      <c r="H772" s="42" t="s">
        <v>156</v>
      </c>
      <c r="I772" s="42"/>
      <c r="J772" s="43" t="s">
        <v>143</v>
      </c>
      <c r="K772" s="42" t="s">
        <v>196</v>
      </c>
      <c r="L772" s="42" t="s">
        <v>517</v>
      </c>
      <c r="M772" s="44" t="s">
        <v>1086</v>
      </c>
    </row>
    <row r="773" spans="1:13" x14ac:dyDescent="0.35">
      <c r="A773" s="42">
        <v>1133</v>
      </c>
      <c r="B773" s="42" t="s">
        <v>136</v>
      </c>
      <c r="C773" s="42" t="s">
        <v>199</v>
      </c>
      <c r="D773" s="42" t="s">
        <v>159</v>
      </c>
      <c r="E773" s="42" t="s">
        <v>206</v>
      </c>
      <c r="F773" s="42" t="s">
        <v>206</v>
      </c>
      <c r="G773" s="42" t="s">
        <v>141</v>
      </c>
      <c r="H773" s="42" t="s">
        <v>156</v>
      </c>
      <c r="I773" s="42"/>
      <c r="J773" s="43" t="s">
        <v>143</v>
      </c>
      <c r="K773" s="42" t="s">
        <v>210</v>
      </c>
      <c r="L773" s="42" t="s">
        <v>210</v>
      </c>
      <c r="M773" s="44" t="s">
        <v>1087</v>
      </c>
    </row>
    <row r="774" spans="1:13" ht="25" x14ac:dyDescent="0.35">
      <c r="A774" s="42">
        <v>1134</v>
      </c>
      <c r="B774" s="42" t="s">
        <v>136</v>
      </c>
      <c r="C774" s="42" t="s">
        <v>137</v>
      </c>
      <c r="D774" s="42" t="s">
        <v>176</v>
      </c>
      <c r="E774" s="42" t="s">
        <v>139</v>
      </c>
      <c r="F774" s="42" t="s">
        <v>140</v>
      </c>
      <c r="G774" s="42" t="s">
        <v>141</v>
      </c>
      <c r="H774" s="42" t="s">
        <v>146</v>
      </c>
      <c r="I774" s="42">
        <v>8</v>
      </c>
      <c r="J774" s="46" t="s">
        <v>222</v>
      </c>
      <c r="K774" s="42" t="s">
        <v>196</v>
      </c>
      <c r="L774" s="42" t="s">
        <v>1088</v>
      </c>
      <c r="M774" s="44" t="s">
        <v>1089</v>
      </c>
    </row>
    <row r="775" spans="1:13" ht="25" x14ac:dyDescent="0.35">
      <c r="A775" s="42">
        <v>1134</v>
      </c>
      <c r="B775" s="42" t="s">
        <v>136</v>
      </c>
      <c r="C775" s="42" t="s">
        <v>137</v>
      </c>
      <c r="D775" s="42" t="s">
        <v>176</v>
      </c>
      <c r="E775" s="42" t="s">
        <v>139</v>
      </c>
      <c r="F775" s="42" t="s">
        <v>140</v>
      </c>
      <c r="G775" s="42" t="s">
        <v>141</v>
      </c>
      <c r="H775" s="42" t="s">
        <v>150</v>
      </c>
      <c r="I775" s="42"/>
      <c r="J775" s="45" t="s">
        <v>147</v>
      </c>
      <c r="K775" s="42" t="s">
        <v>190</v>
      </c>
      <c r="L775" s="42" t="s">
        <v>190</v>
      </c>
      <c r="M775" s="44" t="s">
        <v>1090</v>
      </c>
    </row>
    <row r="776" spans="1:13" x14ac:dyDescent="0.35">
      <c r="A776" s="42">
        <v>1134</v>
      </c>
      <c r="B776" s="42" t="s">
        <v>136</v>
      </c>
      <c r="C776" s="42" t="s">
        <v>137</v>
      </c>
      <c r="D776" s="42" t="s">
        <v>176</v>
      </c>
      <c r="E776" s="42" t="s">
        <v>139</v>
      </c>
      <c r="F776" s="42" t="s">
        <v>140</v>
      </c>
      <c r="G776" s="42" t="s">
        <v>141</v>
      </c>
      <c r="H776" s="42" t="s">
        <v>150</v>
      </c>
      <c r="I776" s="42"/>
      <c r="J776" s="45" t="s">
        <v>147</v>
      </c>
      <c r="K776" s="42" t="s">
        <v>50</v>
      </c>
      <c r="L776" s="42" t="s">
        <v>1091</v>
      </c>
      <c r="M776" s="44" t="s">
        <v>1092</v>
      </c>
    </row>
    <row r="777" spans="1:13" ht="25" x14ac:dyDescent="0.35">
      <c r="A777" s="42">
        <v>1134</v>
      </c>
      <c r="B777" s="42" t="s">
        <v>136</v>
      </c>
      <c r="C777" s="42" t="s">
        <v>137</v>
      </c>
      <c r="D777" s="42" t="s">
        <v>176</v>
      </c>
      <c r="E777" s="42" t="s">
        <v>139</v>
      </c>
      <c r="F777" s="42" t="s">
        <v>140</v>
      </c>
      <c r="G777" s="42" t="s">
        <v>141</v>
      </c>
      <c r="H777" s="42" t="s">
        <v>150</v>
      </c>
      <c r="I777" s="42"/>
      <c r="J777" s="45" t="s">
        <v>147</v>
      </c>
      <c r="K777" s="42" t="s">
        <v>78</v>
      </c>
      <c r="L777" s="42" t="s">
        <v>78</v>
      </c>
      <c r="M777" s="44" t="s">
        <v>1093</v>
      </c>
    </row>
    <row r="778" spans="1:13" x14ac:dyDescent="0.35">
      <c r="A778" s="42">
        <v>1134</v>
      </c>
      <c r="B778" s="42" t="s">
        <v>136</v>
      </c>
      <c r="C778" s="42" t="s">
        <v>137</v>
      </c>
      <c r="D778" s="42" t="s">
        <v>176</v>
      </c>
      <c r="E778" s="42" t="s">
        <v>139</v>
      </c>
      <c r="F778" s="42" t="s">
        <v>140</v>
      </c>
      <c r="G778" s="42" t="s">
        <v>141</v>
      </c>
      <c r="H778" s="42" t="s">
        <v>156</v>
      </c>
      <c r="I778" s="42"/>
      <c r="J778" s="43" t="s">
        <v>143</v>
      </c>
      <c r="K778" s="42" t="s">
        <v>196</v>
      </c>
      <c r="L778" s="42" t="s">
        <v>196</v>
      </c>
      <c r="M778" s="44" t="s">
        <v>1094</v>
      </c>
    </row>
    <row r="779" spans="1:13" x14ac:dyDescent="0.35">
      <c r="A779" s="42">
        <v>1134</v>
      </c>
      <c r="B779" s="42" t="s">
        <v>136</v>
      </c>
      <c r="C779" s="42" t="s">
        <v>137</v>
      </c>
      <c r="D779" s="42" t="s">
        <v>176</v>
      </c>
      <c r="E779" s="42" t="s">
        <v>139</v>
      </c>
      <c r="F779" s="42" t="s">
        <v>140</v>
      </c>
      <c r="G779" s="42" t="s">
        <v>141</v>
      </c>
      <c r="H779" s="42" t="s">
        <v>156</v>
      </c>
      <c r="I779" s="42"/>
      <c r="J779" s="43" t="s">
        <v>143</v>
      </c>
      <c r="K779" s="42" t="s">
        <v>262</v>
      </c>
      <c r="L779" s="42" t="s">
        <v>263</v>
      </c>
      <c r="M779" s="44" t="s">
        <v>1095</v>
      </c>
    </row>
    <row r="780" spans="1:13" ht="25" x14ac:dyDescent="0.35">
      <c r="A780" s="42">
        <v>1006</v>
      </c>
      <c r="B780" s="42" t="s">
        <v>175</v>
      </c>
      <c r="C780" s="42" t="s">
        <v>137</v>
      </c>
      <c r="D780" s="42" t="s">
        <v>159</v>
      </c>
      <c r="E780" s="42" t="s">
        <v>160</v>
      </c>
      <c r="F780" s="42" t="s">
        <v>160</v>
      </c>
      <c r="G780" s="42" t="s">
        <v>141</v>
      </c>
      <c r="H780" s="42" t="s">
        <v>142</v>
      </c>
      <c r="I780" s="42">
        <v>6</v>
      </c>
      <c r="J780" s="43" t="s">
        <v>143</v>
      </c>
      <c r="K780" s="42" t="s">
        <v>50</v>
      </c>
      <c r="L780" s="42" t="s">
        <v>171</v>
      </c>
      <c r="M780" s="44" t="s">
        <v>1096</v>
      </c>
    </row>
    <row r="781" spans="1:13" ht="25" x14ac:dyDescent="0.35">
      <c r="A781" s="42">
        <v>1006</v>
      </c>
      <c r="B781" s="42" t="s">
        <v>175</v>
      </c>
      <c r="C781" s="42" t="s">
        <v>137</v>
      </c>
      <c r="D781" s="42" t="s">
        <v>159</v>
      </c>
      <c r="E781" s="42" t="s">
        <v>160</v>
      </c>
      <c r="F781" s="42" t="s">
        <v>160</v>
      </c>
      <c r="G781" s="42" t="s">
        <v>141</v>
      </c>
      <c r="H781" s="42" t="s">
        <v>166</v>
      </c>
      <c r="I781" s="42">
        <v>1</v>
      </c>
      <c r="J781" s="43" t="s">
        <v>143</v>
      </c>
      <c r="K781" s="42" t="s">
        <v>196</v>
      </c>
      <c r="L781" s="42" t="s">
        <v>252</v>
      </c>
      <c r="M781" s="44" t="s">
        <v>1097</v>
      </c>
    </row>
    <row r="782" spans="1:13" x14ac:dyDescent="0.35">
      <c r="A782" s="42">
        <v>1006</v>
      </c>
      <c r="B782" s="42" t="s">
        <v>175</v>
      </c>
      <c r="C782" s="42" t="s">
        <v>137</v>
      </c>
      <c r="D782" s="42" t="s">
        <v>159</v>
      </c>
      <c r="E782" s="42" t="s">
        <v>160</v>
      </c>
      <c r="F782" s="42" t="s">
        <v>160</v>
      </c>
      <c r="G782" s="42" t="s">
        <v>141</v>
      </c>
      <c r="H782" s="42" t="s">
        <v>180</v>
      </c>
      <c r="I782" s="42">
        <v>3</v>
      </c>
      <c r="J782" s="43" t="s">
        <v>143</v>
      </c>
      <c r="K782" s="42" t="s">
        <v>210</v>
      </c>
      <c r="L782" s="42" t="s">
        <v>210</v>
      </c>
      <c r="M782" s="44" t="s">
        <v>1098</v>
      </c>
    </row>
    <row r="783" spans="1:13" x14ac:dyDescent="0.35">
      <c r="A783" s="42">
        <v>1006</v>
      </c>
      <c r="B783" s="42" t="s">
        <v>175</v>
      </c>
      <c r="C783" s="42" t="s">
        <v>137</v>
      </c>
      <c r="D783" s="42" t="s">
        <v>159</v>
      </c>
      <c r="E783" s="42" t="s">
        <v>160</v>
      </c>
      <c r="F783" s="42" t="s">
        <v>160</v>
      </c>
      <c r="G783" s="42" t="s">
        <v>141</v>
      </c>
      <c r="H783" s="42" t="s">
        <v>183</v>
      </c>
      <c r="I783" s="42">
        <v>3</v>
      </c>
      <c r="J783" s="43" t="s">
        <v>143</v>
      </c>
      <c r="K783" s="42" t="s">
        <v>210</v>
      </c>
      <c r="L783" s="42" t="s">
        <v>210</v>
      </c>
      <c r="M783" s="44" t="s">
        <v>1099</v>
      </c>
    </row>
    <row r="784" spans="1:13" x14ac:dyDescent="0.35">
      <c r="A784" s="42">
        <v>1006</v>
      </c>
      <c r="B784" s="42" t="s">
        <v>175</v>
      </c>
      <c r="C784" s="42" t="s">
        <v>137</v>
      </c>
      <c r="D784" s="42" t="s">
        <v>159</v>
      </c>
      <c r="E784" s="42" t="s">
        <v>160</v>
      </c>
      <c r="F784" s="42" t="s">
        <v>160</v>
      </c>
      <c r="G784" s="42" t="s">
        <v>141</v>
      </c>
      <c r="H784" s="42" t="s">
        <v>146</v>
      </c>
      <c r="I784" s="42">
        <v>6</v>
      </c>
      <c r="J784" s="43" t="s">
        <v>143</v>
      </c>
      <c r="K784" s="42" t="s">
        <v>484</v>
      </c>
      <c r="L784" s="42" t="s">
        <v>484</v>
      </c>
      <c r="M784" s="44" t="s">
        <v>1100</v>
      </c>
    </row>
    <row r="785" spans="1:13" x14ac:dyDescent="0.35">
      <c r="A785" s="42">
        <v>1006</v>
      </c>
      <c r="B785" s="42" t="s">
        <v>175</v>
      </c>
      <c r="C785" s="42" t="s">
        <v>137</v>
      </c>
      <c r="D785" s="42" t="s">
        <v>159</v>
      </c>
      <c r="E785" s="42" t="s">
        <v>160</v>
      </c>
      <c r="F785" s="42" t="s">
        <v>160</v>
      </c>
      <c r="G785" s="42" t="s">
        <v>141</v>
      </c>
      <c r="H785" s="42" t="s">
        <v>150</v>
      </c>
      <c r="I785" s="42"/>
      <c r="J785" s="45" t="s">
        <v>147</v>
      </c>
      <c r="K785" s="42" t="s">
        <v>78</v>
      </c>
      <c r="L785" s="42" t="s">
        <v>78</v>
      </c>
      <c r="M785" s="44" t="s">
        <v>1101</v>
      </c>
    </row>
    <row r="786" spans="1:13" x14ac:dyDescent="0.35">
      <c r="A786" s="42">
        <v>1006</v>
      </c>
      <c r="B786" s="42" t="s">
        <v>175</v>
      </c>
      <c r="C786" s="42" t="s">
        <v>137</v>
      </c>
      <c r="D786" s="42" t="s">
        <v>159</v>
      </c>
      <c r="E786" s="42" t="s">
        <v>160</v>
      </c>
      <c r="F786" s="42" t="s">
        <v>160</v>
      </c>
      <c r="G786" s="42" t="s">
        <v>141</v>
      </c>
      <c r="H786" s="42" t="s">
        <v>150</v>
      </c>
      <c r="I786" s="42"/>
      <c r="J786" s="45" t="s">
        <v>147</v>
      </c>
      <c r="K786" s="42" t="s">
        <v>76</v>
      </c>
      <c r="L786" s="42" t="s">
        <v>76</v>
      </c>
      <c r="M786" s="44" t="s">
        <v>227</v>
      </c>
    </row>
    <row r="787" spans="1:13" x14ac:dyDescent="0.35">
      <c r="A787" s="42">
        <v>1006</v>
      </c>
      <c r="B787" s="42" t="s">
        <v>175</v>
      </c>
      <c r="C787" s="42" t="s">
        <v>137</v>
      </c>
      <c r="D787" s="42" t="s">
        <v>159</v>
      </c>
      <c r="E787" s="42" t="s">
        <v>160</v>
      </c>
      <c r="F787" s="42" t="s">
        <v>160</v>
      </c>
      <c r="G787" s="42" t="s">
        <v>141</v>
      </c>
      <c r="H787" s="42" t="s">
        <v>150</v>
      </c>
      <c r="I787" s="42"/>
      <c r="J787" s="45" t="s">
        <v>147</v>
      </c>
      <c r="K787" s="42" t="s">
        <v>210</v>
      </c>
      <c r="L787" s="42" t="s">
        <v>210</v>
      </c>
      <c r="M787" s="44" t="s">
        <v>1102</v>
      </c>
    </row>
    <row r="788" spans="1:13" x14ac:dyDescent="0.35">
      <c r="A788" s="42">
        <v>1006</v>
      </c>
      <c r="B788" s="42" t="s">
        <v>175</v>
      </c>
      <c r="C788" s="42" t="s">
        <v>137</v>
      </c>
      <c r="D788" s="42" t="s">
        <v>159</v>
      </c>
      <c r="E788" s="42" t="s">
        <v>160</v>
      </c>
      <c r="F788" s="42" t="s">
        <v>160</v>
      </c>
      <c r="G788" s="42" t="s">
        <v>141</v>
      </c>
      <c r="H788" s="42" t="s">
        <v>156</v>
      </c>
      <c r="I788" s="42"/>
      <c r="J788" s="43" t="s">
        <v>143</v>
      </c>
      <c r="K788" s="42" t="s">
        <v>50</v>
      </c>
      <c r="L788" s="42" t="s">
        <v>50</v>
      </c>
      <c r="M788" s="44" t="s">
        <v>696</v>
      </c>
    </row>
    <row r="789" spans="1:13" x14ac:dyDescent="0.35">
      <c r="A789" s="42">
        <v>1006</v>
      </c>
      <c r="B789" s="42" t="s">
        <v>175</v>
      </c>
      <c r="C789" s="42" t="s">
        <v>137</v>
      </c>
      <c r="D789" s="42" t="s">
        <v>159</v>
      </c>
      <c r="E789" s="42" t="s">
        <v>160</v>
      </c>
      <c r="F789" s="42" t="s">
        <v>160</v>
      </c>
      <c r="G789" s="42" t="s">
        <v>141</v>
      </c>
      <c r="H789" s="42" t="s">
        <v>156</v>
      </c>
      <c r="I789" s="42"/>
      <c r="J789" s="43" t="s">
        <v>143</v>
      </c>
      <c r="K789" s="42" t="s">
        <v>53</v>
      </c>
      <c r="L789" s="42" t="s">
        <v>53</v>
      </c>
      <c r="M789" s="44" t="s">
        <v>1103</v>
      </c>
    </row>
    <row r="790" spans="1:13" x14ac:dyDescent="0.35">
      <c r="A790" s="42">
        <v>1006</v>
      </c>
      <c r="B790" s="42" t="s">
        <v>175</v>
      </c>
      <c r="C790" s="42" t="s">
        <v>137</v>
      </c>
      <c r="D790" s="42" t="s">
        <v>159</v>
      </c>
      <c r="E790" s="42" t="s">
        <v>160</v>
      </c>
      <c r="F790" s="42" t="s">
        <v>160</v>
      </c>
      <c r="G790" s="42" t="s">
        <v>141</v>
      </c>
      <c r="H790" s="42" t="s">
        <v>156</v>
      </c>
      <c r="I790" s="42"/>
      <c r="J790" s="43" t="s">
        <v>143</v>
      </c>
      <c r="K790" s="42" t="s">
        <v>262</v>
      </c>
      <c r="L790" s="42" t="s">
        <v>262</v>
      </c>
      <c r="M790" s="44" t="s">
        <v>1104</v>
      </c>
    </row>
    <row r="791" spans="1:13" x14ac:dyDescent="0.35">
      <c r="A791" s="42">
        <v>1091</v>
      </c>
      <c r="B791" s="42" t="s">
        <v>136</v>
      </c>
      <c r="C791" s="42" t="s">
        <v>137</v>
      </c>
      <c r="D791" s="42" t="s">
        <v>159</v>
      </c>
      <c r="E791" s="42" t="s">
        <v>160</v>
      </c>
      <c r="F791" s="42" t="s">
        <v>160</v>
      </c>
      <c r="G791" s="42" t="s">
        <v>141</v>
      </c>
      <c r="H791" s="42" t="s">
        <v>180</v>
      </c>
      <c r="I791" s="42">
        <v>5</v>
      </c>
      <c r="J791" s="43" t="s">
        <v>143</v>
      </c>
      <c r="K791" s="42" t="s">
        <v>196</v>
      </c>
      <c r="L791" s="42" t="s">
        <v>201</v>
      </c>
      <c r="M791" s="44" t="s">
        <v>1105</v>
      </c>
    </row>
    <row r="792" spans="1:13" x14ac:dyDescent="0.35">
      <c r="A792" s="42">
        <v>1091</v>
      </c>
      <c r="B792" s="42" t="s">
        <v>136</v>
      </c>
      <c r="C792" s="42" t="s">
        <v>137</v>
      </c>
      <c r="D792" s="42" t="s">
        <v>159</v>
      </c>
      <c r="E792" s="42" t="s">
        <v>160</v>
      </c>
      <c r="F792" s="42" t="s">
        <v>160</v>
      </c>
      <c r="G792" s="42" t="s">
        <v>141</v>
      </c>
      <c r="H792" s="42" t="s">
        <v>150</v>
      </c>
      <c r="I792" s="42"/>
      <c r="J792" s="45" t="s">
        <v>147</v>
      </c>
      <c r="K792" s="42" t="s">
        <v>82</v>
      </c>
      <c r="L792" s="42" t="s">
        <v>82</v>
      </c>
      <c r="M792" s="44" t="s">
        <v>1106</v>
      </c>
    </row>
    <row r="793" spans="1:13" x14ac:dyDescent="0.35">
      <c r="A793" s="42">
        <v>1091</v>
      </c>
      <c r="B793" s="42" t="s">
        <v>136</v>
      </c>
      <c r="C793" s="42" t="s">
        <v>137</v>
      </c>
      <c r="D793" s="42" t="s">
        <v>159</v>
      </c>
      <c r="E793" s="42" t="s">
        <v>160</v>
      </c>
      <c r="F793" s="42" t="s">
        <v>160</v>
      </c>
      <c r="G793" s="42" t="s">
        <v>141</v>
      </c>
      <c r="H793" s="42" t="s">
        <v>150</v>
      </c>
      <c r="I793" s="42"/>
      <c r="J793" s="45" t="s">
        <v>147</v>
      </c>
      <c r="K793" s="42" t="s">
        <v>190</v>
      </c>
      <c r="L793" s="42" t="s">
        <v>190</v>
      </c>
      <c r="M793" s="44" t="s">
        <v>1107</v>
      </c>
    </row>
    <row r="794" spans="1:13" x14ac:dyDescent="0.35">
      <c r="A794" s="42">
        <v>1091</v>
      </c>
      <c r="B794" s="42" t="s">
        <v>136</v>
      </c>
      <c r="C794" s="42" t="s">
        <v>137</v>
      </c>
      <c r="D794" s="42" t="s">
        <v>159</v>
      </c>
      <c r="E794" s="42" t="s">
        <v>160</v>
      </c>
      <c r="F794" s="42" t="s">
        <v>160</v>
      </c>
      <c r="G794" s="42" t="s">
        <v>141</v>
      </c>
      <c r="H794" s="42" t="s">
        <v>150</v>
      </c>
      <c r="I794" s="42"/>
      <c r="J794" s="45" t="s">
        <v>147</v>
      </c>
      <c r="K794" s="42" t="s">
        <v>78</v>
      </c>
      <c r="L794" s="42" t="s">
        <v>78</v>
      </c>
      <c r="M794" s="44" t="s">
        <v>1108</v>
      </c>
    </row>
    <row r="795" spans="1:13" x14ac:dyDescent="0.35">
      <c r="A795" s="42">
        <v>1091</v>
      </c>
      <c r="B795" s="42" t="s">
        <v>136</v>
      </c>
      <c r="C795" s="42" t="s">
        <v>137</v>
      </c>
      <c r="D795" s="42" t="s">
        <v>159</v>
      </c>
      <c r="E795" s="42" t="s">
        <v>160</v>
      </c>
      <c r="F795" s="42" t="s">
        <v>160</v>
      </c>
      <c r="G795" s="42" t="s">
        <v>141</v>
      </c>
      <c r="H795" s="42" t="s">
        <v>156</v>
      </c>
      <c r="I795" s="42"/>
      <c r="J795" s="43" t="s">
        <v>143</v>
      </c>
      <c r="K795" s="42" t="s">
        <v>210</v>
      </c>
      <c r="L795" s="42" t="s">
        <v>210</v>
      </c>
      <c r="M795" s="44" t="s">
        <v>1109</v>
      </c>
    </row>
    <row r="796" spans="1:13" x14ac:dyDescent="0.35">
      <c r="A796" s="42">
        <v>1091</v>
      </c>
      <c r="B796" s="42" t="s">
        <v>136</v>
      </c>
      <c r="C796" s="42" t="s">
        <v>137</v>
      </c>
      <c r="D796" s="42" t="s">
        <v>159</v>
      </c>
      <c r="E796" s="42" t="s">
        <v>160</v>
      </c>
      <c r="F796" s="42" t="s">
        <v>160</v>
      </c>
      <c r="G796" s="42" t="s">
        <v>141</v>
      </c>
      <c r="H796" s="42" t="s">
        <v>156</v>
      </c>
      <c r="I796" s="42"/>
      <c r="J796" s="43" t="s">
        <v>143</v>
      </c>
      <c r="K796" s="42" t="s">
        <v>78</v>
      </c>
      <c r="L796" s="42" t="s">
        <v>78</v>
      </c>
      <c r="M796" s="44" t="s">
        <v>1110</v>
      </c>
    </row>
    <row r="797" spans="1:13" x14ac:dyDescent="0.35">
      <c r="A797" s="42">
        <v>1091</v>
      </c>
      <c r="B797" s="42" t="s">
        <v>136</v>
      </c>
      <c r="C797" s="42" t="s">
        <v>137</v>
      </c>
      <c r="D797" s="42" t="s">
        <v>159</v>
      </c>
      <c r="E797" s="42" t="s">
        <v>160</v>
      </c>
      <c r="F797" s="42" t="s">
        <v>160</v>
      </c>
      <c r="G797" s="42" t="s">
        <v>141</v>
      </c>
      <c r="H797" s="42" t="s">
        <v>156</v>
      </c>
      <c r="I797" s="42"/>
      <c r="J797" s="43" t="s">
        <v>143</v>
      </c>
      <c r="K797" s="42" t="s">
        <v>144</v>
      </c>
      <c r="L797" s="42" t="s">
        <v>144</v>
      </c>
      <c r="M797" s="44" t="s">
        <v>1111</v>
      </c>
    </row>
    <row r="798" spans="1:13" x14ac:dyDescent="0.35">
      <c r="A798" s="42">
        <v>1325</v>
      </c>
      <c r="B798" s="42" t="s">
        <v>175</v>
      </c>
      <c r="C798" s="42" t="s">
        <v>199</v>
      </c>
      <c r="D798" s="42" t="s">
        <v>176</v>
      </c>
      <c r="E798" s="42" t="s">
        <v>160</v>
      </c>
      <c r="F798" s="42" t="s">
        <v>160</v>
      </c>
      <c r="G798" s="42" t="s">
        <v>141</v>
      </c>
      <c r="H798" s="42" t="s">
        <v>142</v>
      </c>
      <c r="I798" s="42">
        <v>3</v>
      </c>
      <c r="J798" s="43" t="s">
        <v>143</v>
      </c>
      <c r="K798" s="42" t="s">
        <v>144</v>
      </c>
      <c r="L798" s="42" t="s">
        <v>144</v>
      </c>
      <c r="M798" s="44" t="s">
        <v>1112</v>
      </c>
    </row>
    <row r="799" spans="1:13" x14ac:dyDescent="0.35">
      <c r="A799" s="42">
        <v>1325</v>
      </c>
      <c r="B799" s="42" t="s">
        <v>175</v>
      </c>
      <c r="C799" s="42" t="s">
        <v>199</v>
      </c>
      <c r="D799" s="42" t="s">
        <v>176</v>
      </c>
      <c r="E799" s="42" t="s">
        <v>160</v>
      </c>
      <c r="F799" s="42" t="s">
        <v>160</v>
      </c>
      <c r="G799" s="42" t="s">
        <v>141</v>
      </c>
      <c r="H799" s="42" t="s">
        <v>183</v>
      </c>
      <c r="I799" s="42">
        <v>5</v>
      </c>
      <c r="J799" s="43" t="s">
        <v>143</v>
      </c>
      <c r="K799" s="42" t="s">
        <v>184</v>
      </c>
      <c r="L799" s="42" t="s">
        <v>626</v>
      </c>
      <c r="M799" s="44" t="s">
        <v>1113</v>
      </c>
    </row>
    <row r="800" spans="1:13" x14ac:dyDescent="0.35">
      <c r="A800" s="42">
        <v>1325</v>
      </c>
      <c r="B800" s="42" t="s">
        <v>175</v>
      </c>
      <c r="C800" s="42" t="s">
        <v>199</v>
      </c>
      <c r="D800" s="42" t="s">
        <v>176</v>
      </c>
      <c r="E800" s="42" t="s">
        <v>160</v>
      </c>
      <c r="F800" s="42" t="s">
        <v>160</v>
      </c>
      <c r="G800" s="42" t="s">
        <v>141</v>
      </c>
      <c r="H800" s="42" t="s">
        <v>146</v>
      </c>
      <c r="I800" s="42">
        <v>6</v>
      </c>
      <c r="J800" s="43" t="s">
        <v>143</v>
      </c>
      <c r="K800" s="42" t="s">
        <v>144</v>
      </c>
      <c r="L800" s="42" t="s">
        <v>250</v>
      </c>
      <c r="M800" s="44" t="s">
        <v>1114</v>
      </c>
    </row>
    <row r="801" spans="1:13" x14ac:dyDescent="0.35">
      <c r="A801" s="42">
        <v>1325</v>
      </c>
      <c r="B801" s="42" t="s">
        <v>175</v>
      </c>
      <c r="C801" s="42" t="s">
        <v>199</v>
      </c>
      <c r="D801" s="42" t="s">
        <v>176</v>
      </c>
      <c r="E801" s="42" t="s">
        <v>160</v>
      </c>
      <c r="F801" s="42" t="s">
        <v>160</v>
      </c>
      <c r="G801" s="42" t="s">
        <v>141</v>
      </c>
      <c r="H801" s="42" t="s">
        <v>150</v>
      </c>
      <c r="I801" s="42"/>
      <c r="J801" s="45" t="s">
        <v>147</v>
      </c>
      <c r="K801" s="42" t="s">
        <v>80</v>
      </c>
      <c r="L801" s="42" t="s">
        <v>80</v>
      </c>
      <c r="M801" s="44" t="s">
        <v>1115</v>
      </c>
    </row>
    <row r="802" spans="1:13" x14ac:dyDescent="0.35">
      <c r="A802" s="42">
        <v>1325</v>
      </c>
      <c r="B802" s="42" t="s">
        <v>175</v>
      </c>
      <c r="C802" s="42" t="s">
        <v>199</v>
      </c>
      <c r="D802" s="42" t="s">
        <v>176</v>
      </c>
      <c r="E802" s="42" t="s">
        <v>160</v>
      </c>
      <c r="F802" s="42" t="s">
        <v>160</v>
      </c>
      <c r="G802" s="42" t="s">
        <v>141</v>
      </c>
      <c r="H802" s="42" t="s">
        <v>150</v>
      </c>
      <c r="I802" s="42"/>
      <c r="J802" s="45" t="s">
        <v>147</v>
      </c>
      <c r="K802" s="42" t="s">
        <v>190</v>
      </c>
      <c r="L802" s="42" t="s">
        <v>190</v>
      </c>
      <c r="M802" s="44" t="s">
        <v>1116</v>
      </c>
    </row>
    <row r="803" spans="1:13" x14ac:dyDescent="0.35">
      <c r="A803" s="42">
        <v>1325</v>
      </c>
      <c r="B803" s="42" t="s">
        <v>175</v>
      </c>
      <c r="C803" s="42" t="s">
        <v>199</v>
      </c>
      <c r="D803" s="42" t="s">
        <v>176</v>
      </c>
      <c r="E803" s="42" t="s">
        <v>160</v>
      </c>
      <c r="F803" s="42" t="s">
        <v>160</v>
      </c>
      <c r="G803" s="42" t="s">
        <v>141</v>
      </c>
      <c r="H803" s="42" t="s">
        <v>150</v>
      </c>
      <c r="I803" s="42"/>
      <c r="J803" s="45" t="s">
        <v>147</v>
      </c>
      <c r="K803" s="42" t="s">
        <v>144</v>
      </c>
      <c r="L803" s="42" t="s">
        <v>144</v>
      </c>
      <c r="M803" s="44" t="s">
        <v>1117</v>
      </c>
    </row>
    <row r="804" spans="1:13" x14ac:dyDescent="0.35">
      <c r="A804" s="42">
        <v>1325</v>
      </c>
      <c r="B804" s="42" t="s">
        <v>175</v>
      </c>
      <c r="C804" s="42" t="s">
        <v>199</v>
      </c>
      <c r="D804" s="42" t="s">
        <v>176</v>
      </c>
      <c r="E804" s="42" t="s">
        <v>160</v>
      </c>
      <c r="F804" s="42" t="s">
        <v>160</v>
      </c>
      <c r="G804" s="42" t="s">
        <v>141</v>
      </c>
      <c r="H804" s="42" t="s">
        <v>156</v>
      </c>
      <c r="I804" s="42"/>
      <c r="J804" s="43" t="s">
        <v>143</v>
      </c>
      <c r="K804" s="42" t="s">
        <v>144</v>
      </c>
      <c r="L804" s="42" t="s">
        <v>144</v>
      </c>
      <c r="M804" s="44" t="s">
        <v>1118</v>
      </c>
    </row>
    <row r="805" spans="1:13" x14ac:dyDescent="0.35">
      <c r="A805" s="42">
        <v>1325</v>
      </c>
      <c r="B805" s="42" t="s">
        <v>175</v>
      </c>
      <c r="C805" s="42" t="s">
        <v>199</v>
      </c>
      <c r="D805" s="42" t="s">
        <v>176</v>
      </c>
      <c r="E805" s="42" t="s">
        <v>160</v>
      </c>
      <c r="F805" s="42" t="s">
        <v>160</v>
      </c>
      <c r="G805" s="42" t="s">
        <v>141</v>
      </c>
      <c r="H805" s="42" t="s">
        <v>156</v>
      </c>
      <c r="I805" s="42"/>
      <c r="J805" s="43" t="s">
        <v>143</v>
      </c>
      <c r="K805" s="42" t="s">
        <v>184</v>
      </c>
      <c r="L805" s="42" t="s">
        <v>626</v>
      </c>
      <c r="M805" s="44" t="s">
        <v>1119</v>
      </c>
    </row>
    <row r="806" spans="1:13" x14ac:dyDescent="0.35">
      <c r="A806" s="42">
        <v>1152</v>
      </c>
      <c r="B806" s="42" t="s">
        <v>136</v>
      </c>
      <c r="C806" s="42" t="s">
        <v>199</v>
      </c>
      <c r="D806" s="42" t="s">
        <v>219</v>
      </c>
      <c r="E806" s="42" t="s">
        <v>206</v>
      </c>
      <c r="F806" s="42" t="s">
        <v>206</v>
      </c>
      <c r="G806" s="42" t="s">
        <v>141</v>
      </c>
      <c r="H806" s="42" t="s">
        <v>146</v>
      </c>
      <c r="I806" s="42">
        <v>8</v>
      </c>
      <c r="J806" s="46" t="s">
        <v>222</v>
      </c>
      <c r="K806" s="42" t="s">
        <v>53</v>
      </c>
      <c r="L806" s="42" t="s">
        <v>178</v>
      </c>
      <c r="M806" s="44" t="s">
        <v>1120</v>
      </c>
    </row>
    <row r="807" spans="1:13" x14ac:dyDescent="0.35">
      <c r="A807" s="42">
        <v>1152</v>
      </c>
      <c r="B807" s="42" t="s">
        <v>136</v>
      </c>
      <c r="C807" s="42" t="s">
        <v>199</v>
      </c>
      <c r="D807" s="42" t="s">
        <v>219</v>
      </c>
      <c r="E807" s="42" t="s">
        <v>206</v>
      </c>
      <c r="F807" s="42" t="s">
        <v>206</v>
      </c>
      <c r="G807" s="42" t="s">
        <v>141</v>
      </c>
      <c r="H807" s="42" t="s">
        <v>156</v>
      </c>
      <c r="I807" s="42"/>
      <c r="J807" s="43" t="s">
        <v>143</v>
      </c>
      <c r="K807" s="42" t="s">
        <v>53</v>
      </c>
      <c r="L807" s="42" t="s">
        <v>53</v>
      </c>
      <c r="M807" s="44" t="s">
        <v>1121</v>
      </c>
    </row>
    <row r="808" spans="1:13" x14ac:dyDescent="0.35">
      <c r="A808" s="42">
        <v>1152</v>
      </c>
      <c r="B808" s="42" t="s">
        <v>136</v>
      </c>
      <c r="C808" s="42" t="s">
        <v>199</v>
      </c>
      <c r="D808" s="42" t="s">
        <v>219</v>
      </c>
      <c r="E808" s="42" t="s">
        <v>206</v>
      </c>
      <c r="F808" s="42" t="s">
        <v>206</v>
      </c>
      <c r="G808" s="42" t="s">
        <v>141</v>
      </c>
      <c r="H808" s="42" t="s">
        <v>156</v>
      </c>
      <c r="I808" s="42"/>
      <c r="J808" s="43" t="s">
        <v>143</v>
      </c>
      <c r="K808" s="42" t="s">
        <v>210</v>
      </c>
      <c r="L808" s="42" t="s">
        <v>210</v>
      </c>
      <c r="M808" s="44" t="s">
        <v>1122</v>
      </c>
    </row>
    <row r="809" spans="1:13" x14ac:dyDescent="0.35">
      <c r="A809" s="42">
        <v>1155</v>
      </c>
      <c r="B809" s="42" t="s">
        <v>136</v>
      </c>
      <c r="C809" s="42" t="s">
        <v>199</v>
      </c>
      <c r="D809" s="42" t="s">
        <v>219</v>
      </c>
      <c r="E809" s="42" t="s">
        <v>139</v>
      </c>
      <c r="F809" s="42" t="s">
        <v>140</v>
      </c>
      <c r="G809" s="42" t="s">
        <v>141</v>
      </c>
      <c r="H809" s="42" t="s">
        <v>177</v>
      </c>
      <c r="I809" s="42">
        <v>5</v>
      </c>
      <c r="J809" s="43" t="s">
        <v>143</v>
      </c>
      <c r="K809" s="42" t="s">
        <v>196</v>
      </c>
      <c r="L809" s="42" t="s">
        <v>252</v>
      </c>
      <c r="M809" s="44" t="s">
        <v>1123</v>
      </c>
    </row>
    <row r="810" spans="1:13" ht="25" x14ac:dyDescent="0.35">
      <c r="A810" s="42">
        <v>1155</v>
      </c>
      <c r="B810" s="42" t="s">
        <v>136</v>
      </c>
      <c r="C810" s="42" t="s">
        <v>199</v>
      </c>
      <c r="D810" s="42" t="s">
        <v>219</v>
      </c>
      <c r="E810" s="42" t="s">
        <v>139</v>
      </c>
      <c r="F810" s="42" t="s">
        <v>140</v>
      </c>
      <c r="G810" s="42" t="s">
        <v>141</v>
      </c>
      <c r="H810" s="42" t="s">
        <v>146</v>
      </c>
      <c r="I810" s="42">
        <v>9</v>
      </c>
      <c r="J810" s="45" t="s">
        <v>147</v>
      </c>
      <c r="K810" s="42" t="s">
        <v>181</v>
      </c>
      <c r="L810" s="42" t="s">
        <v>1124</v>
      </c>
      <c r="M810" s="44" t="s">
        <v>1125</v>
      </c>
    </row>
    <row r="811" spans="1:13" x14ac:dyDescent="0.35">
      <c r="A811" s="42">
        <v>1155</v>
      </c>
      <c r="B811" s="42" t="s">
        <v>136</v>
      </c>
      <c r="C811" s="42" t="s">
        <v>199</v>
      </c>
      <c r="D811" s="42" t="s">
        <v>219</v>
      </c>
      <c r="E811" s="42" t="s">
        <v>139</v>
      </c>
      <c r="F811" s="42" t="s">
        <v>140</v>
      </c>
      <c r="G811" s="42" t="s">
        <v>141</v>
      </c>
      <c r="H811" s="42" t="s">
        <v>150</v>
      </c>
      <c r="I811" s="42"/>
      <c r="J811" s="45" t="s">
        <v>147</v>
      </c>
      <c r="K811" s="42" t="s">
        <v>190</v>
      </c>
      <c r="L811" s="42" t="s">
        <v>190</v>
      </c>
      <c r="M811" s="44" t="s">
        <v>1126</v>
      </c>
    </row>
    <row r="812" spans="1:13" x14ac:dyDescent="0.35">
      <c r="A812" s="42">
        <v>1155</v>
      </c>
      <c r="B812" s="42" t="s">
        <v>136</v>
      </c>
      <c r="C812" s="42" t="s">
        <v>199</v>
      </c>
      <c r="D812" s="42" t="s">
        <v>219</v>
      </c>
      <c r="E812" s="42" t="s">
        <v>139</v>
      </c>
      <c r="F812" s="42" t="s">
        <v>140</v>
      </c>
      <c r="G812" s="42" t="s">
        <v>141</v>
      </c>
      <c r="H812" s="42" t="s">
        <v>150</v>
      </c>
      <c r="I812" s="42"/>
      <c r="J812" s="45" t="s">
        <v>147</v>
      </c>
      <c r="K812" s="42" t="s">
        <v>78</v>
      </c>
      <c r="L812" s="42" t="s">
        <v>78</v>
      </c>
      <c r="M812" s="44" t="s">
        <v>1127</v>
      </c>
    </row>
    <row r="813" spans="1:13" x14ac:dyDescent="0.35">
      <c r="A813" s="42">
        <v>1155</v>
      </c>
      <c r="B813" s="42" t="s">
        <v>136</v>
      </c>
      <c r="C813" s="42" t="s">
        <v>199</v>
      </c>
      <c r="D813" s="42" t="s">
        <v>219</v>
      </c>
      <c r="E813" s="42" t="s">
        <v>139</v>
      </c>
      <c r="F813" s="42" t="s">
        <v>140</v>
      </c>
      <c r="G813" s="42" t="s">
        <v>141</v>
      </c>
      <c r="H813" s="42" t="s">
        <v>150</v>
      </c>
      <c r="I813" s="42"/>
      <c r="J813" s="45" t="s">
        <v>147</v>
      </c>
      <c r="K813" s="42" t="s">
        <v>210</v>
      </c>
      <c r="L813" s="42" t="s">
        <v>210</v>
      </c>
      <c r="M813" s="44" t="s">
        <v>1128</v>
      </c>
    </row>
    <row r="814" spans="1:13" x14ac:dyDescent="0.35">
      <c r="A814" s="42">
        <v>1155</v>
      </c>
      <c r="B814" s="42" t="s">
        <v>136</v>
      </c>
      <c r="C814" s="42" t="s">
        <v>199</v>
      </c>
      <c r="D814" s="42" t="s">
        <v>219</v>
      </c>
      <c r="E814" s="42" t="s">
        <v>139</v>
      </c>
      <c r="F814" s="42" t="s">
        <v>140</v>
      </c>
      <c r="G814" s="42" t="s">
        <v>141</v>
      </c>
      <c r="H814" s="42" t="s">
        <v>156</v>
      </c>
      <c r="I814" s="42"/>
      <c r="J814" s="43" t="s">
        <v>143</v>
      </c>
      <c r="K814" s="42" t="s">
        <v>53</v>
      </c>
      <c r="L814" s="42" t="s">
        <v>289</v>
      </c>
      <c r="M814" s="44" t="s">
        <v>1129</v>
      </c>
    </row>
    <row r="815" spans="1:13" x14ac:dyDescent="0.35">
      <c r="A815" s="42">
        <v>1155</v>
      </c>
      <c r="B815" s="42" t="s">
        <v>136</v>
      </c>
      <c r="C815" s="42" t="s">
        <v>199</v>
      </c>
      <c r="D815" s="42" t="s">
        <v>219</v>
      </c>
      <c r="E815" s="42" t="s">
        <v>139</v>
      </c>
      <c r="F815" s="42" t="s">
        <v>140</v>
      </c>
      <c r="G815" s="42" t="s">
        <v>141</v>
      </c>
      <c r="H815" s="42" t="s">
        <v>156</v>
      </c>
      <c r="I815" s="42"/>
      <c r="J815" s="43" t="s">
        <v>143</v>
      </c>
      <c r="K815" s="42" t="s">
        <v>305</v>
      </c>
      <c r="L815" s="42" t="s">
        <v>305</v>
      </c>
      <c r="M815" s="44" t="s">
        <v>1130</v>
      </c>
    </row>
    <row r="816" spans="1:13" x14ac:dyDescent="0.35">
      <c r="A816" s="42">
        <v>1155</v>
      </c>
      <c r="B816" s="42" t="s">
        <v>136</v>
      </c>
      <c r="C816" s="42" t="s">
        <v>199</v>
      </c>
      <c r="D816" s="42" t="s">
        <v>219</v>
      </c>
      <c r="E816" s="42" t="s">
        <v>139</v>
      </c>
      <c r="F816" s="42" t="s">
        <v>140</v>
      </c>
      <c r="G816" s="42" t="s">
        <v>141</v>
      </c>
      <c r="H816" s="42" t="s">
        <v>156</v>
      </c>
      <c r="I816" s="42"/>
      <c r="J816" s="43" t="s">
        <v>143</v>
      </c>
      <c r="K816" s="42" t="s">
        <v>181</v>
      </c>
      <c r="L816" s="42" t="s">
        <v>181</v>
      </c>
      <c r="M816" s="44" t="s">
        <v>1131</v>
      </c>
    </row>
    <row r="817" spans="1:13" x14ac:dyDescent="0.35">
      <c r="A817" s="42">
        <v>1159</v>
      </c>
      <c r="B817" s="42" t="s">
        <v>136</v>
      </c>
      <c r="C817" s="42" t="s">
        <v>199</v>
      </c>
      <c r="D817" s="42" t="s">
        <v>159</v>
      </c>
      <c r="E817" s="42" t="s">
        <v>139</v>
      </c>
      <c r="F817" s="42" t="s">
        <v>140</v>
      </c>
      <c r="G817" s="42" t="s">
        <v>141</v>
      </c>
      <c r="H817" s="42" t="s">
        <v>142</v>
      </c>
      <c r="I817" s="42">
        <v>6</v>
      </c>
      <c r="J817" s="43" t="s">
        <v>143</v>
      </c>
      <c r="K817" s="42" t="s">
        <v>144</v>
      </c>
      <c r="L817" s="42" t="s">
        <v>144</v>
      </c>
      <c r="M817" s="44" t="s">
        <v>1132</v>
      </c>
    </row>
    <row r="818" spans="1:13" ht="25" x14ac:dyDescent="0.35">
      <c r="A818" s="42">
        <v>1159</v>
      </c>
      <c r="B818" s="42" t="s">
        <v>136</v>
      </c>
      <c r="C818" s="42" t="s">
        <v>199</v>
      </c>
      <c r="D818" s="42" t="s">
        <v>159</v>
      </c>
      <c r="E818" s="42" t="s">
        <v>139</v>
      </c>
      <c r="F818" s="42" t="s">
        <v>140</v>
      </c>
      <c r="G818" s="42" t="s">
        <v>141</v>
      </c>
      <c r="H818" s="42" t="s">
        <v>177</v>
      </c>
      <c r="I818" s="42">
        <v>5</v>
      </c>
      <c r="J818" s="43" t="s">
        <v>143</v>
      </c>
      <c r="K818" s="42" t="s">
        <v>196</v>
      </c>
      <c r="L818" s="42" t="s">
        <v>517</v>
      </c>
      <c r="M818" s="44" t="s">
        <v>1133</v>
      </c>
    </row>
    <row r="819" spans="1:13" x14ac:dyDescent="0.35">
      <c r="A819" s="42">
        <v>1159</v>
      </c>
      <c r="B819" s="42" t="s">
        <v>136</v>
      </c>
      <c r="C819" s="42" t="s">
        <v>199</v>
      </c>
      <c r="D819" s="42" t="s">
        <v>159</v>
      </c>
      <c r="E819" s="42" t="s">
        <v>139</v>
      </c>
      <c r="F819" s="42" t="s">
        <v>140</v>
      </c>
      <c r="G819" s="42" t="s">
        <v>141</v>
      </c>
      <c r="H819" s="42" t="s">
        <v>183</v>
      </c>
      <c r="I819" s="42">
        <v>6</v>
      </c>
      <c r="J819" s="43" t="s">
        <v>143</v>
      </c>
      <c r="K819" s="42" t="s">
        <v>184</v>
      </c>
      <c r="L819" s="42" t="s">
        <v>184</v>
      </c>
      <c r="M819" s="44" t="s">
        <v>1134</v>
      </c>
    </row>
    <row r="820" spans="1:13" ht="25" x14ac:dyDescent="0.35">
      <c r="A820" s="42">
        <v>1159</v>
      </c>
      <c r="B820" s="42" t="s">
        <v>136</v>
      </c>
      <c r="C820" s="42" t="s">
        <v>199</v>
      </c>
      <c r="D820" s="42" t="s">
        <v>159</v>
      </c>
      <c r="E820" s="42" t="s">
        <v>139</v>
      </c>
      <c r="F820" s="42" t="s">
        <v>140</v>
      </c>
      <c r="G820" s="42" t="s">
        <v>141</v>
      </c>
      <c r="H820" s="42" t="s">
        <v>146</v>
      </c>
      <c r="I820" s="42">
        <v>7</v>
      </c>
      <c r="J820" s="46" t="s">
        <v>222</v>
      </c>
      <c r="K820" s="42" t="s">
        <v>76</v>
      </c>
      <c r="L820" s="42" t="s">
        <v>1135</v>
      </c>
      <c r="M820" s="44" t="s">
        <v>1136</v>
      </c>
    </row>
    <row r="821" spans="1:13" x14ac:dyDescent="0.35">
      <c r="A821" s="42">
        <v>1159</v>
      </c>
      <c r="B821" s="42" t="s">
        <v>136</v>
      </c>
      <c r="C821" s="42" t="s">
        <v>199</v>
      </c>
      <c r="D821" s="42" t="s">
        <v>159</v>
      </c>
      <c r="E821" s="42" t="s">
        <v>139</v>
      </c>
      <c r="F821" s="42" t="s">
        <v>140</v>
      </c>
      <c r="G821" s="42" t="s">
        <v>141</v>
      </c>
      <c r="H821" s="42" t="s">
        <v>150</v>
      </c>
      <c r="I821" s="42"/>
      <c r="J821" s="45" t="s">
        <v>147</v>
      </c>
      <c r="K821" s="42" t="s">
        <v>80</v>
      </c>
      <c r="L821" s="42" t="s">
        <v>80</v>
      </c>
      <c r="M821" s="44" t="s">
        <v>1137</v>
      </c>
    </row>
    <row r="822" spans="1:13" x14ac:dyDescent="0.35">
      <c r="A822" s="42">
        <v>1159</v>
      </c>
      <c r="B822" s="42" t="s">
        <v>136</v>
      </c>
      <c r="C822" s="42" t="s">
        <v>199</v>
      </c>
      <c r="D822" s="42" t="s">
        <v>159</v>
      </c>
      <c r="E822" s="42" t="s">
        <v>139</v>
      </c>
      <c r="F822" s="42" t="s">
        <v>140</v>
      </c>
      <c r="G822" s="42" t="s">
        <v>141</v>
      </c>
      <c r="H822" s="42" t="s">
        <v>150</v>
      </c>
      <c r="I822" s="42"/>
      <c r="J822" s="45" t="s">
        <v>147</v>
      </c>
      <c r="K822" s="42" t="s">
        <v>80</v>
      </c>
      <c r="L822" s="42" t="s">
        <v>80</v>
      </c>
      <c r="M822" s="44" t="s">
        <v>1138</v>
      </c>
    </row>
    <row r="823" spans="1:13" x14ac:dyDescent="0.35">
      <c r="A823" s="42">
        <v>1159</v>
      </c>
      <c r="B823" s="42" t="s">
        <v>136</v>
      </c>
      <c r="C823" s="42" t="s">
        <v>199</v>
      </c>
      <c r="D823" s="42" t="s">
        <v>159</v>
      </c>
      <c r="E823" s="42" t="s">
        <v>139</v>
      </c>
      <c r="F823" s="42" t="s">
        <v>140</v>
      </c>
      <c r="G823" s="42" t="s">
        <v>141</v>
      </c>
      <c r="H823" s="42" t="s">
        <v>150</v>
      </c>
      <c r="I823" s="42"/>
      <c r="J823" s="45" t="s">
        <v>147</v>
      </c>
      <c r="K823" s="42" t="s">
        <v>144</v>
      </c>
      <c r="L823" s="42" t="s">
        <v>144</v>
      </c>
      <c r="M823" s="44" t="s">
        <v>215</v>
      </c>
    </row>
    <row r="824" spans="1:13" x14ac:dyDescent="0.35">
      <c r="A824" s="42">
        <v>1159</v>
      </c>
      <c r="B824" s="42" t="s">
        <v>136</v>
      </c>
      <c r="C824" s="42" t="s">
        <v>199</v>
      </c>
      <c r="D824" s="42" t="s">
        <v>159</v>
      </c>
      <c r="E824" s="42" t="s">
        <v>139</v>
      </c>
      <c r="F824" s="42" t="s">
        <v>140</v>
      </c>
      <c r="G824" s="42" t="s">
        <v>141</v>
      </c>
      <c r="H824" s="42" t="s">
        <v>156</v>
      </c>
      <c r="I824" s="42"/>
      <c r="J824" s="43" t="s">
        <v>143</v>
      </c>
      <c r="K824" s="42" t="s">
        <v>144</v>
      </c>
      <c r="L824" s="42" t="s">
        <v>144</v>
      </c>
      <c r="M824" s="44" t="s">
        <v>1139</v>
      </c>
    </row>
    <row r="825" spans="1:13" x14ac:dyDescent="0.35">
      <c r="A825" s="42">
        <v>1159</v>
      </c>
      <c r="B825" s="42" t="s">
        <v>136</v>
      </c>
      <c r="C825" s="42" t="s">
        <v>199</v>
      </c>
      <c r="D825" s="42" t="s">
        <v>159</v>
      </c>
      <c r="E825" s="42" t="s">
        <v>139</v>
      </c>
      <c r="F825" s="42" t="s">
        <v>140</v>
      </c>
      <c r="G825" s="42" t="s">
        <v>141</v>
      </c>
      <c r="H825" s="42" t="s">
        <v>156</v>
      </c>
      <c r="I825" s="42"/>
      <c r="J825" s="43" t="s">
        <v>143</v>
      </c>
      <c r="K825" s="42" t="s">
        <v>144</v>
      </c>
      <c r="L825" s="42" t="s">
        <v>144</v>
      </c>
      <c r="M825" s="44" t="s">
        <v>1140</v>
      </c>
    </row>
    <row r="826" spans="1:13" x14ac:dyDescent="0.35">
      <c r="A826" s="42">
        <v>1159</v>
      </c>
      <c r="B826" s="42" t="s">
        <v>136</v>
      </c>
      <c r="C826" s="42" t="s">
        <v>199</v>
      </c>
      <c r="D826" s="42" t="s">
        <v>159</v>
      </c>
      <c r="E826" s="42" t="s">
        <v>139</v>
      </c>
      <c r="F826" s="42" t="s">
        <v>140</v>
      </c>
      <c r="G826" s="42" t="s">
        <v>141</v>
      </c>
      <c r="H826" s="42" t="s">
        <v>156</v>
      </c>
      <c r="I826" s="42"/>
      <c r="J826" s="43" t="s">
        <v>143</v>
      </c>
      <c r="K826" s="42" t="s">
        <v>196</v>
      </c>
      <c r="L826" s="42" t="s">
        <v>201</v>
      </c>
      <c r="M826" s="44" t="s">
        <v>1141</v>
      </c>
    </row>
    <row r="827" spans="1:13" x14ac:dyDescent="0.35">
      <c r="A827" s="42">
        <v>879</v>
      </c>
      <c r="B827" s="42" t="s">
        <v>175</v>
      </c>
      <c r="C827" s="42" t="s">
        <v>199</v>
      </c>
      <c r="D827" s="42" t="s">
        <v>159</v>
      </c>
      <c r="E827" s="42" t="s">
        <v>160</v>
      </c>
      <c r="F827" s="42" t="s">
        <v>160</v>
      </c>
      <c r="G827" s="42" t="s">
        <v>141</v>
      </c>
      <c r="H827" s="42" t="s">
        <v>142</v>
      </c>
      <c r="I827" s="42">
        <v>6</v>
      </c>
      <c r="J827" s="43" t="s">
        <v>143</v>
      </c>
      <c r="K827" s="42" t="s">
        <v>144</v>
      </c>
      <c r="L827" s="42" t="s">
        <v>144</v>
      </c>
      <c r="M827" s="44" t="s">
        <v>1142</v>
      </c>
    </row>
    <row r="828" spans="1:13" x14ac:dyDescent="0.35">
      <c r="A828" s="42">
        <v>879</v>
      </c>
      <c r="B828" s="42" t="s">
        <v>175</v>
      </c>
      <c r="C828" s="42" t="s">
        <v>199</v>
      </c>
      <c r="D828" s="42" t="s">
        <v>159</v>
      </c>
      <c r="E828" s="42" t="s">
        <v>160</v>
      </c>
      <c r="F828" s="42" t="s">
        <v>160</v>
      </c>
      <c r="G828" s="42" t="s">
        <v>141</v>
      </c>
      <c r="H828" s="42" t="s">
        <v>177</v>
      </c>
      <c r="I828" s="42">
        <v>3</v>
      </c>
      <c r="J828" s="43" t="s">
        <v>143</v>
      </c>
      <c r="K828" s="42" t="s">
        <v>53</v>
      </c>
      <c r="L828" s="42" t="s">
        <v>1143</v>
      </c>
      <c r="M828" s="44" t="s">
        <v>1144</v>
      </c>
    </row>
    <row r="829" spans="1:13" ht="37.5" x14ac:dyDescent="0.35">
      <c r="A829" s="42">
        <v>879</v>
      </c>
      <c r="B829" s="42" t="s">
        <v>175</v>
      </c>
      <c r="C829" s="42" t="s">
        <v>199</v>
      </c>
      <c r="D829" s="42" t="s">
        <v>159</v>
      </c>
      <c r="E829" s="42" t="s">
        <v>160</v>
      </c>
      <c r="F829" s="42" t="s">
        <v>160</v>
      </c>
      <c r="G829" s="42" t="s">
        <v>141</v>
      </c>
      <c r="H829" s="42" t="s">
        <v>146</v>
      </c>
      <c r="I829" s="42">
        <v>5</v>
      </c>
      <c r="J829" s="43" t="s">
        <v>143</v>
      </c>
      <c r="K829" s="42" t="s">
        <v>50</v>
      </c>
      <c r="L829" s="42" t="s">
        <v>1145</v>
      </c>
      <c r="M829" s="44" t="s">
        <v>1146</v>
      </c>
    </row>
    <row r="830" spans="1:13" x14ac:dyDescent="0.35">
      <c r="A830" s="42">
        <v>879</v>
      </c>
      <c r="B830" s="42" t="s">
        <v>175</v>
      </c>
      <c r="C830" s="42" t="s">
        <v>199</v>
      </c>
      <c r="D830" s="42" t="s">
        <v>159</v>
      </c>
      <c r="E830" s="42" t="s">
        <v>160</v>
      </c>
      <c r="F830" s="42" t="s">
        <v>160</v>
      </c>
      <c r="G830" s="42" t="s">
        <v>141</v>
      </c>
      <c r="H830" s="42" t="s">
        <v>150</v>
      </c>
      <c r="I830" s="42"/>
      <c r="J830" s="45" t="s">
        <v>147</v>
      </c>
      <c r="K830" s="42" t="s">
        <v>80</v>
      </c>
      <c r="L830" s="42" t="s">
        <v>80</v>
      </c>
      <c r="M830" s="44" t="s">
        <v>1147</v>
      </c>
    </row>
    <row r="831" spans="1:13" x14ac:dyDescent="0.35">
      <c r="A831" s="42">
        <v>879</v>
      </c>
      <c r="B831" s="42" t="s">
        <v>175</v>
      </c>
      <c r="C831" s="42" t="s">
        <v>199</v>
      </c>
      <c r="D831" s="42" t="s">
        <v>159</v>
      </c>
      <c r="E831" s="42" t="s">
        <v>160</v>
      </c>
      <c r="F831" s="42" t="s">
        <v>160</v>
      </c>
      <c r="G831" s="42" t="s">
        <v>141</v>
      </c>
      <c r="H831" s="42" t="s">
        <v>150</v>
      </c>
      <c r="I831" s="42"/>
      <c r="J831" s="45" t="s">
        <v>147</v>
      </c>
      <c r="K831" s="42" t="s">
        <v>80</v>
      </c>
      <c r="L831" s="42" t="s">
        <v>80</v>
      </c>
      <c r="M831" s="44" t="s">
        <v>1148</v>
      </c>
    </row>
    <row r="832" spans="1:13" x14ac:dyDescent="0.35">
      <c r="A832" s="42">
        <v>879</v>
      </c>
      <c r="B832" s="42" t="s">
        <v>175</v>
      </c>
      <c r="C832" s="42" t="s">
        <v>199</v>
      </c>
      <c r="D832" s="42" t="s">
        <v>159</v>
      </c>
      <c r="E832" s="42" t="s">
        <v>160</v>
      </c>
      <c r="F832" s="42" t="s">
        <v>160</v>
      </c>
      <c r="G832" s="42" t="s">
        <v>141</v>
      </c>
      <c r="H832" s="42" t="s">
        <v>150</v>
      </c>
      <c r="I832" s="42"/>
      <c r="J832" s="45" t="s">
        <v>147</v>
      </c>
      <c r="K832" s="42" t="s">
        <v>190</v>
      </c>
      <c r="L832" s="42" t="s">
        <v>190</v>
      </c>
      <c r="M832" s="44" t="s">
        <v>1149</v>
      </c>
    </row>
    <row r="833" spans="1:13" x14ac:dyDescent="0.35">
      <c r="A833" s="42">
        <v>879</v>
      </c>
      <c r="B833" s="42" t="s">
        <v>175</v>
      </c>
      <c r="C833" s="42" t="s">
        <v>199</v>
      </c>
      <c r="D833" s="42" t="s">
        <v>159</v>
      </c>
      <c r="E833" s="42" t="s">
        <v>160</v>
      </c>
      <c r="F833" s="42" t="s">
        <v>160</v>
      </c>
      <c r="G833" s="42" t="s">
        <v>141</v>
      </c>
      <c r="H833" s="42" t="s">
        <v>156</v>
      </c>
      <c r="I833" s="42"/>
      <c r="J833" s="43" t="s">
        <v>143</v>
      </c>
      <c r="K833" s="42" t="s">
        <v>181</v>
      </c>
      <c r="L833" s="42" t="s">
        <v>1150</v>
      </c>
      <c r="M833" s="44" t="s">
        <v>1151</v>
      </c>
    </row>
    <row r="834" spans="1:13" x14ac:dyDescent="0.35">
      <c r="A834" s="42">
        <v>879</v>
      </c>
      <c r="B834" s="42" t="s">
        <v>175</v>
      </c>
      <c r="C834" s="42" t="s">
        <v>199</v>
      </c>
      <c r="D834" s="42" t="s">
        <v>159</v>
      </c>
      <c r="E834" s="42" t="s">
        <v>160</v>
      </c>
      <c r="F834" s="42" t="s">
        <v>160</v>
      </c>
      <c r="G834" s="42" t="s">
        <v>141</v>
      </c>
      <c r="H834" s="42" t="s">
        <v>156</v>
      </c>
      <c r="I834" s="42"/>
      <c r="J834" s="43" t="s">
        <v>143</v>
      </c>
      <c r="K834" s="42" t="s">
        <v>196</v>
      </c>
      <c r="L834" s="42" t="s">
        <v>196</v>
      </c>
      <c r="M834" s="44" t="s">
        <v>1152</v>
      </c>
    </row>
    <row r="835" spans="1:13" x14ac:dyDescent="0.35">
      <c r="A835" s="42">
        <v>879</v>
      </c>
      <c r="B835" s="42" t="s">
        <v>175</v>
      </c>
      <c r="C835" s="42" t="s">
        <v>199</v>
      </c>
      <c r="D835" s="42" t="s">
        <v>159</v>
      </c>
      <c r="E835" s="42" t="s">
        <v>160</v>
      </c>
      <c r="F835" s="42" t="s">
        <v>160</v>
      </c>
      <c r="G835" s="42" t="s">
        <v>141</v>
      </c>
      <c r="H835" s="42" t="s">
        <v>156</v>
      </c>
      <c r="I835" s="42"/>
      <c r="J835" s="43" t="s">
        <v>143</v>
      </c>
      <c r="K835" s="42" t="s">
        <v>196</v>
      </c>
      <c r="L835" s="42" t="s">
        <v>252</v>
      </c>
      <c r="M835" s="44" t="s">
        <v>1153</v>
      </c>
    </row>
    <row r="836" spans="1:13" x14ac:dyDescent="0.35">
      <c r="A836" s="42">
        <v>1165</v>
      </c>
      <c r="B836" s="42" t="s">
        <v>175</v>
      </c>
      <c r="C836" s="42" t="s">
        <v>199</v>
      </c>
      <c r="D836" s="42" t="s">
        <v>176</v>
      </c>
      <c r="E836" s="42" t="s">
        <v>206</v>
      </c>
      <c r="F836" s="42" t="s">
        <v>206</v>
      </c>
      <c r="G836" s="42" t="s">
        <v>141</v>
      </c>
      <c r="H836" s="42" t="s">
        <v>180</v>
      </c>
      <c r="I836" s="42">
        <v>5</v>
      </c>
      <c r="J836" s="43" t="s">
        <v>143</v>
      </c>
      <c r="K836" s="42" t="s">
        <v>196</v>
      </c>
      <c r="L836" s="42" t="s">
        <v>252</v>
      </c>
      <c r="M836" s="44" t="s">
        <v>1154</v>
      </c>
    </row>
    <row r="837" spans="1:13" x14ac:dyDescent="0.35">
      <c r="A837" s="42">
        <v>1165</v>
      </c>
      <c r="B837" s="42" t="s">
        <v>175</v>
      </c>
      <c r="C837" s="42" t="s">
        <v>199</v>
      </c>
      <c r="D837" s="42" t="s">
        <v>176</v>
      </c>
      <c r="E837" s="42" t="s">
        <v>206</v>
      </c>
      <c r="F837" s="42" t="s">
        <v>206</v>
      </c>
      <c r="G837" s="42" t="s">
        <v>141</v>
      </c>
      <c r="H837" s="42" t="s">
        <v>183</v>
      </c>
      <c r="I837" s="42">
        <v>5</v>
      </c>
      <c r="J837" s="43" t="s">
        <v>143</v>
      </c>
      <c r="K837" s="42" t="s">
        <v>210</v>
      </c>
      <c r="L837" s="42" t="s">
        <v>210</v>
      </c>
      <c r="M837" s="44" t="s">
        <v>1155</v>
      </c>
    </row>
    <row r="838" spans="1:13" x14ac:dyDescent="0.35">
      <c r="A838" s="42">
        <v>1165</v>
      </c>
      <c r="B838" s="42" t="s">
        <v>175</v>
      </c>
      <c r="C838" s="42" t="s">
        <v>199</v>
      </c>
      <c r="D838" s="42" t="s">
        <v>176</v>
      </c>
      <c r="E838" s="42" t="s">
        <v>206</v>
      </c>
      <c r="F838" s="42" t="s">
        <v>206</v>
      </c>
      <c r="G838" s="42" t="s">
        <v>141</v>
      </c>
      <c r="H838" s="42" t="s">
        <v>146</v>
      </c>
      <c r="I838" s="42">
        <v>2</v>
      </c>
      <c r="J838" s="43" t="s">
        <v>143</v>
      </c>
      <c r="K838" s="42" t="s">
        <v>190</v>
      </c>
      <c r="L838" s="42" t="s">
        <v>190</v>
      </c>
      <c r="M838" s="44" t="s">
        <v>1156</v>
      </c>
    </row>
    <row r="839" spans="1:13" x14ac:dyDescent="0.35">
      <c r="A839" s="42">
        <v>1165</v>
      </c>
      <c r="B839" s="42" t="s">
        <v>175</v>
      </c>
      <c r="C839" s="42" t="s">
        <v>199</v>
      </c>
      <c r="D839" s="42" t="s">
        <v>176</v>
      </c>
      <c r="E839" s="42" t="s">
        <v>206</v>
      </c>
      <c r="F839" s="42" t="s">
        <v>206</v>
      </c>
      <c r="G839" s="42" t="s">
        <v>141</v>
      </c>
      <c r="H839" s="42" t="s">
        <v>150</v>
      </c>
      <c r="I839" s="42"/>
      <c r="J839" s="45" t="s">
        <v>147</v>
      </c>
      <c r="K839" s="42" t="s">
        <v>210</v>
      </c>
      <c r="L839" s="42" t="s">
        <v>210</v>
      </c>
      <c r="M839" s="44" t="s">
        <v>1157</v>
      </c>
    </row>
    <row r="840" spans="1:13" x14ac:dyDescent="0.35">
      <c r="A840" s="42">
        <v>1165</v>
      </c>
      <c r="B840" s="42" t="s">
        <v>175</v>
      </c>
      <c r="C840" s="42" t="s">
        <v>199</v>
      </c>
      <c r="D840" s="42" t="s">
        <v>176</v>
      </c>
      <c r="E840" s="42" t="s">
        <v>206</v>
      </c>
      <c r="F840" s="42" t="s">
        <v>206</v>
      </c>
      <c r="G840" s="42" t="s">
        <v>141</v>
      </c>
      <c r="H840" s="42" t="s">
        <v>150</v>
      </c>
      <c r="I840" s="42"/>
      <c r="J840" s="45" t="s">
        <v>147</v>
      </c>
      <c r="K840" s="42" t="s">
        <v>80</v>
      </c>
      <c r="L840" s="42" t="s">
        <v>80</v>
      </c>
      <c r="M840" s="44" t="s">
        <v>1158</v>
      </c>
    </row>
    <row r="841" spans="1:13" x14ac:dyDescent="0.35">
      <c r="A841" s="42">
        <v>1165</v>
      </c>
      <c r="B841" s="42" t="s">
        <v>175</v>
      </c>
      <c r="C841" s="42" t="s">
        <v>199</v>
      </c>
      <c r="D841" s="42" t="s">
        <v>176</v>
      </c>
      <c r="E841" s="42" t="s">
        <v>206</v>
      </c>
      <c r="F841" s="42" t="s">
        <v>206</v>
      </c>
      <c r="G841" s="42" t="s">
        <v>141</v>
      </c>
      <c r="H841" s="42" t="s">
        <v>150</v>
      </c>
      <c r="I841" s="42"/>
      <c r="J841" s="45" t="s">
        <v>147</v>
      </c>
      <c r="K841" s="42" t="s">
        <v>210</v>
      </c>
      <c r="L841" s="42" t="s">
        <v>210</v>
      </c>
      <c r="M841" s="44" t="s">
        <v>1159</v>
      </c>
    </row>
    <row r="842" spans="1:13" x14ac:dyDescent="0.35">
      <c r="A842" s="42">
        <v>1165</v>
      </c>
      <c r="B842" s="42" t="s">
        <v>175</v>
      </c>
      <c r="C842" s="42" t="s">
        <v>199</v>
      </c>
      <c r="D842" s="42" t="s">
        <v>176</v>
      </c>
      <c r="E842" s="42" t="s">
        <v>206</v>
      </c>
      <c r="F842" s="42" t="s">
        <v>206</v>
      </c>
      <c r="G842" s="42" t="s">
        <v>141</v>
      </c>
      <c r="H842" s="42" t="s">
        <v>156</v>
      </c>
      <c r="I842" s="42"/>
      <c r="J842" s="43" t="s">
        <v>143</v>
      </c>
      <c r="K842" s="42" t="s">
        <v>190</v>
      </c>
      <c r="L842" s="42" t="s">
        <v>190</v>
      </c>
      <c r="M842" s="44" t="s">
        <v>438</v>
      </c>
    </row>
    <row r="843" spans="1:13" x14ac:dyDescent="0.35">
      <c r="A843" s="42">
        <v>1165</v>
      </c>
      <c r="B843" s="42" t="s">
        <v>175</v>
      </c>
      <c r="C843" s="42" t="s">
        <v>199</v>
      </c>
      <c r="D843" s="42" t="s">
        <v>176</v>
      </c>
      <c r="E843" s="42" t="s">
        <v>206</v>
      </c>
      <c r="F843" s="42" t="s">
        <v>206</v>
      </c>
      <c r="G843" s="42" t="s">
        <v>141</v>
      </c>
      <c r="H843" s="42" t="s">
        <v>156</v>
      </c>
      <c r="I843" s="42"/>
      <c r="J843" s="43" t="s">
        <v>143</v>
      </c>
      <c r="K843" s="42" t="s">
        <v>181</v>
      </c>
      <c r="L843" s="42" t="s">
        <v>181</v>
      </c>
      <c r="M843" s="44" t="s">
        <v>1160</v>
      </c>
    </row>
    <row r="844" spans="1:13" x14ac:dyDescent="0.35">
      <c r="A844" s="42">
        <v>1165</v>
      </c>
      <c r="B844" s="42" t="s">
        <v>175</v>
      </c>
      <c r="C844" s="42" t="s">
        <v>199</v>
      </c>
      <c r="D844" s="42" t="s">
        <v>176</v>
      </c>
      <c r="E844" s="42" t="s">
        <v>206</v>
      </c>
      <c r="F844" s="42" t="s">
        <v>206</v>
      </c>
      <c r="G844" s="42" t="s">
        <v>141</v>
      </c>
      <c r="H844" s="42" t="s">
        <v>156</v>
      </c>
      <c r="I844" s="42"/>
      <c r="J844" s="43" t="s">
        <v>143</v>
      </c>
      <c r="K844" s="42" t="s">
        <v>144</v>
      </c>
      <c r="L844" s="42" t="s">
        <v>144</v>
      </c>
      <c r="M844" s="44" t="s">
        <v>1161</v>
      </c>
    </row>
    <row r="845" spans="1:13" x14ac:dyDescent="0.35">
      <c r="A845" s="42">
        <v>1169</v>
      </c>
      <c r="B845" s="42" t="s">
        <v>136</v>
      </c>
      <c r="C845" s="42" t="s">
        <v>137</v>
      </c>
      <c r="D845" s="42" t="s">
        <v>138</v>
      </c>
      <c r="E845" s="42" t="s">
        <v>274</v>
      </c>
      <c r="F845" s="42" t="s">
        <v>140</v>
      </c>
      <c r="G845" s="42" t="s">
        <v>141</v>
      </c>
      <c r="H845" s="42" t="s">
        <v>163</v>
      </c>
      <c r="I845" s="42"/>
      <c r="J845" s="45" t="s">
        <v>147</v>
      </c>
      <c r="K845" s="42" t="s">
        <v>144</v>
      </c>
      <c r="L845" s="42" t="s">
        <v>144</v>
      </c>
      <c r="M845" s="44" t="s">
        <v>1162</v>
      </c>
    </row>
    <row r="846" spans="1:13" x14ac:dyDescent="0.35">
      <c r="A846" s="42">
        <v>1169</v>
      </c>
      <c r="B846" s="42" t="s">
        <v>136</v>
      </c>
      <c r="C846" s="42" t="s">
        <v>137</v>
      </c>
      <c r="D846" s="42" t="s">
        <v>138</v>
      </c>
      <c r="E846" s="42" t="s">
        <v>274</v>
      </c>
      <c r="F846" s="42" t="s">
        <v>140</v>
      </c>
      <c r="G846" s="42" t="s">
        <v>141</v>
      </c>
      <c r="H846" s="42" t="s">
        <v>177</v>
      </c>
      <c r="I846" s="42">
        <v>5</v>
      </c>
      <c r="J846" s="43" t="s">
        <v>143</v>
      </c>
      <c r="K846" s="42" t="s">
        <v>53</v>
      </c>
      <c r="L846" s="42" t="s">
        <v>1163</v>
      </c>
      <c r="M846" s="44" t="s">
        <v>1164</v>
      </c>
    </row>
    <row r="847" spans="1:13" x14ac:dyDescent="0.35">
      <c r="A847" s="42">
        <v>1169</v>
      </c>
      <c r="B847" s="42" t="s">
        <v>136</v>
      </c>
      <c r="C847" s="42" t="s">
        <v>137</v>
      </c>
      <c r="D847" s="42" t="s">
        <v>138</v>
      </c>
      <c r="E847" s="42" t="s">
        <v>274</v>
      </c>
      <c r="F847" s="42" t="s">
        <v>140</v>
      </c>
      <c r="G847" s="42" t="s">
        <v>141</v>
      </c>
      <c r="H847" s="42" t="s">
        <v>180</v>
      </c>
      <c r="I847" s="42">
        <v>5</v>
      </c>
      <c r="J847" s="43" t="s">
        <v>143</v>
      </c>
      <c r="K847" s="42" t="s">
        <v>196</v>
      </c>
      <c r="L847" s="42" t="s">
        <v>196</v>
      </c>
      <c r="M847" s="44" t="s">
        <v>1165</v>
      </c>
    </row>
    <row r="848" spans="1:13" ht="25" x14ac:dyDescent="0.35">
      <c r="A848" s="42">
        <v>1169</v>
      </c>
      <c r="B848" s="42" t="s">
        <v>136</v>
      </c>
      <c r="C848" s="42" t="s">
        <v>137</v>
      </c>
      <c r="D848" s="42" t="s">
        <v>138</v>
      </c>
      <c r="E848" s="42" t="s">
        <v>274</v>
      </c>
      <c r="F848" s="42" t="s">
        <v>140</v>
      </c>
      <c r="G848" s="42" t="s">
        <v>141</v>
      </c>
      <c r="H848" s="42" t="s">
        <v>183</v>
      </c>
      <c r="I848" s="42">
        <v>6</v>
      </c>
      <c r="J848" s="43" t="s">
        <v>143</v>
      </c>
      <c r="K848" s="42" t="s">
        <v>184</v>
      </c>
      <c r="L848" s="42" t="s">
        <v>690</v>
      </c>
      <c r="M848" s="44" t="s">
        <v>1166</v>
      </c>
    </row>
    <row r="849" spans="1:13" x14ac:dyDescent="0.35">
      <c r="A849" s="42">
        <v>1169</v>
      </c>
      <c r="B849" s="42" t="s">
        <v>136</v>
      </c>
      <c r="C849" s="42" t="s">
        <v>137</v>
      </c>
      <c r="D849" s="42" t="s">
        <v>138</v>
      </c>
      <c r="E849" s="42" t="s">
        <v>274</v>
      </c>
      <c r="F849" s="42" t="s">
        <v>140</v>
      </c>
      <c r="G849" s="42" t="s">
        <v>141</v>
      </c>
      <c r="H849" s="42" t="s">
        <v>146</v>
      </c>
      <c r="I849" s="42">
        <v>10</v>
      </c>
      <c r="J849" s="45" t="s">
        <v>147</v>
      </c>
      <c r="K849" s="42" t="s">
        <v>80</v>
      </c>
      <c r="L849" s="42" t="s">
        <v>80</v>
      </c>
      <c r="M849" s="44" t="s">
        <v>1167</v>
      </c>
    </row>
    <row r="850" spans="1:13" x14ac:dyDescent="0.35">
      <c r="A850" s="42">
        <v>1169</v>
      </c>
      <c r="B850" s="42" t="s">
        <v>136</v>
      </c>
      <c r="C850" s="42" t="s">
        <v>137</v>
      </c>
      <c r="D850" s="42" t="s">
        <v>138</v>
      </c>
      <c r="E850" s="42" t="s">
        <v>274</v>
      </c>
      <c r="F850" s="42" t="s">
        <v>140</v>
      </c>
      <c r="G850" s="42" t="s">
        <v>141</v>
      </c>
      <c r="H850" s="42" t="s">
        <v>150</v>
      </c>
      <c r="I850" s="42"/>
      <c r="J850" s="45" t="s">
        <v>147</v>
      </c>
      <c r="K850" s="42" t="s">
        <v>210</v>
      </c>
      <c r="L850" s="42" t="s">
        <v>210</v>
      </c>
      <c r="M850" s="44" t="s">
        <v>1168</v>
      </c>
    </row>
    <row r="851" spans="1:13" x14ac:dyDescent="0.35">
      <c r="A851" s="42">
        <v>1169</v>
      </c>
      <c r="B851" s="42" t="s">
        <v>136</v>
      </c>
      <c r="C851" s="42" t="s">
        <v>137</v>
      </c>
      <c r="D851" s="42" t="s">
        <v>138</v>
      </c>
      <c r="E851" s="42" t="s">
        <v>274</v>
      </c>
      <c r="F851" s="42" t="s">
        <v>140</v>
      </c>
      <c r="G851" s="42" t="s">
        <v>141</v>
      </c>
      <c r="H851" s="42" t="s">
        <v>150</v>
      </c>
      <c r="I851" s="42"/>
      <c r="J851" s="45" t="s">
        <v>147</v>
      </c>
      <c r="K851" s="42" t="s">
        <v>210</v>
      </c>
      <c r="L851" s="42" t="s">
        <v>210</v>
      </c>
      <c r="M851" s="44" t="s">
        <v>1169</v>
      </c>
    </row>
    <row r="852" spans="1:13" x14ac:dyDescent="0.35">
      <c r="A852" s="42">
        <v>1169</v>
      </c>
      <c r="B852" s="42" t="s">
        <v>136</v>
      </c>
      <c r="C852" s="42" t="s">
        <v>137</v>
      </c>
      <c r="D852" s="42" t="s">
        <v>138</v>
      </c>
      <c r="E852" s="42" t="s">
        <v>274</v>
      </c>
      <c r="F852" s="42" t="s">
        <v>140</v>
      </c>
      <c r="G852" s="42" t="s">
        <v>141</v>
      </c>
      <c r="H852" s="42" t="s">
        <v>150</v>
      </c>
      <c r="I852" s="42"/>
      <c r="J852" s="45" t="s">
        <v>147</v>
      </c>
      <c r="K852" s="42" t="s">
        <v>50</v>
      </c>
      <c r="L852" s="42" t="s">
        <v>171</v>
      </c>
      <c r="M852" s="44" t="s">
        <v>1170</v>
      </c>
    </row>
    <row r="853" spans="1:13" x14ac:dyDescent="0.35">
      <c r="A853" s="42">
        <v>1169</v>
      </c>
      <c r="B853" s="42" t="s">
        <v>136</v>
      </c>
      <c r="C853" s="42" t="s">
        <v>137</v>
      </c>
      <c r="D853" s="42" t="s">
        <v>138</v>
      </c>
      <c r="E853" s="42" t="s">
        <v>274</v>
      </c>
      <c r="F853" s="42" t="s">
        <v>140</v>
      </c>
      <c r="G853" s="42" t="s">
        <v>141</v>
      </c>
      <c r="H853" s="42" t="s">
        <v>156</v>
      </c>
      <c r="I853" s="42"/>
      <c r="J853" s="43" t="s">
        <v>143</v>
      </c>
      <c r="K853" s="42" t="s">
        <v>187</v>
      </c>
      <c r="L853" s="42" t="s">
        <v>188</v>
      </c>
      <c r="M853" s="44" t="s">
        <v>1171</v>
      </c>
    </row>
    <row r="854" spans="1:13" x14ac:dyDescent="0.35">
      <c r="A854" s="42">
        <v>1169</v>
      </c>
      <c r="B854" s="42" t="s">
        <v>136</v>
      </c>
      <c r="C854" s="42" t="s">
        <v>137</v>
      </c>
      <c r="D854" s="42" t="s">
        <v>138</v>
      </c>
      <c r="E854" s="42" t="s">
        <v>274</v>
      </c>
      <c r="F854" s="42" t="s">
        <v>140</v>
      </c>
      <c r="G854" s="42" t="s">
        <v>141</v>
      </c>
      <c r="H854" s="42" t="s">
        <v>156</v>
      </c>
      <c r="I854" s="42"/>
      <c r="J854" s="43" t="s">
        <v>143</v>
      </c>
      <c r="K854" s="42" t="s">
        <v>196</v>
      </c>
      <c r="L854" s="42" t="s">
        <v>196</v>
      </c>
      <c r="M854" s="44" t="s">
        <v>1172</v>
      </c>
    </row>
    <row r="855" spans="1:13" x14ac:dyDescent="0.35">
      <c r="A855" s="42">
        <v>1169</v>
      </c>
      <c r="B855" s="42" t="s">
        <v>136</v>
      </c>
      <c r="C855" s="42" t="s">
        <v>137</v>
      </c>
      <c r="D855" s="42" t="s">
        <v>138</v>
      </c>
      <c r="E855" s="42" t="s">
        <v>274</v>
      </c>
      <c r="F855" s="42" t="s">
        <v>140</v>
      </c>
      <c r="G855" s="42" t="s">
        <v>141</v>
      </c>
      <c r="H855" s="42" t="s">
        <v>156</v>
      </c>
      <c r="I855" s="42"/>
      <c r="J855" s="43" t="s">
        <v>143</v>
      </c>
      <c r="K855" s="42" t="s">
        <v>184</v>
      </c>
      <c r="L855" s="42" t="s">
        <v>184</v>
      </c>
      <c r="M855" s="44" t="s">
        <v>1173</v>
      </c>
    </row>
    <row r="856" spans="1:13" ht="25" x14ac:dyDescent="0.35">
      <c r="A856" s="42">
        <v>1171</v>
      </c>
      <c r="B856" s="42" t="s">
        <v>136</v>
      </c>
      <c r="C856" s="42" t="s">
        <v>199</v>
      </c>
      <c r="D856" s="42" t="s">
        <v>176</v>
      </c>
      <c r="E856" s="42" t="s">
        <v>206</v>
      </c>
      <c r="F856" s="42" t="s">
        <v>206</v>
      </c>
      <c r="G856" s="42" t="s">
        <v>200</v>
      </c>
      <c r="H856" s="42" t="s">
        <v>146</v>
      </c>
      <c r="I856" s="42">
        <v>7</v>
      </c>
      <c r="J856" s="46" t="s">
        <v>222</v>
      </c>
      <c r="K856" s="42" t="s">
        <v>210</v>
      </c>
      <c r="L856" s="42" t="s">
        <v>210</v>
      </c>
      <c r="M856" s="44" t="s">
        <v>1174</v>
      </c>
    </row>
    <row r="857" spans="1:13" x14ac:dyDescent="0.35">
      <c r="A857" s="42">
        <v>1171</v>
      </c>
      <c r="B857" s="42" t="s">
        <v>136</v>
      </c>
      <c r="C857" s="42" t="s">
        <v>199</v>
      </c>
      <c r="D857" s="42" t="s">
        <v>176</v>
      </c>
      <c r="E857" s="42" t="s">
        <v>206</v>
      </c>
      <c r="F857" s="42" t="s">
        <v>206</v>
      </c>
      <c r="G857" s="42" t="s">
        <v>200</v>
      </c>
      <c r="H857" s="42" t="s">
        <v>150</v>
      </c>
      <c r="I857" s="42"/>
      <c r="J857" s="45" t="s">
        <v>147</v>
      </c>
      <c r="K857" s="42" t="s">
        <v>210</v>
      </c>
      <c r="L857" s="42" t="s">
        <v>210</v>
      </c>
      <c r="M857" s="44" t="s">
        <v>1175</v>
      </c>
    </row>
    <row r="858" spans="1:13" x14ac:dyDescent="0.35">
      <c r="A858" s="42">
        <v>1171</v>
      </c>
      <c r="B858" s="42" t="s">
        <v>136</v>
      </c>
      <c r="C858" s="42" t="s">
        <v>199</v>
      </c>
      <c r="D858" s="42" t="s">
        <v>176</v>
      </c>
      <c r="E858" s="42" t="s">
        <v>206</v>
      </c>
      <c r="F858" s="42" t="s">
        <v>206</v>
      </c>
      <c r="G858" s="42" t="s">
        <v>200</v>
      </c>
      <c r="H858" s="42" t="s">
        <v>150</v>
      </c>
      <c r="I858" s="42"/>
      <c r="J858" s="45" t="s">
        <v>147</v>
      </c>
      <c r="K858" s="42" t="s">
        <v>80</v>
      </c>
      <c r="L858" s="42" t="s">
        <v>80</v>
      </c>
      <c r="M858" s="44" t="s">
        <v>1176</v>
      </c>
    </row>
    <row r="859" spans="1:13" x14ac:dyDescent="0.35">
      <c r="A859" s="42">
        <v>1171</v>
      </c>
      <c r="B859" s="42" t="s">
        <v>136</v>
      </c>
      <c r="C859" s="42" t="s">
        <v>199</v>
      </c>
      <c r="D859" s="42" t="s">
        <v>176</v>
      </c>
      <c r="E859" s="42" t="s">
        <v>206</v>
      </c>
      <c r="F859" s="42" t="s">
        <v>206</v>
      </c>
      <c r="G859" s="42" t="s">
        <v>200</v>
      </c>
      <c r="H859" s="42" t="s">
        <v>150</v>
      </c>
      <c r="I859" s="42"/>
      <c r="J859" s="45" t="s">
        <v>147</v>
      </c>
      <c r="K859" s="42" t="s">
        <v>210</v>
      </c>
      <c r="L859" s="42" t="s">
        <v>210</v>
      </c>
      <c r="M859" s="44" t="s">
        <v>1177</v>
      </c>
    </row>
    <row r="860" spans="1:13" x14ac:dyDescent="0.35">
      <c r="A860" s="42">
        <v>1171</v>
      </c>
      <c r="B860" s="42" t="s">
        <v>136</v>
      </c>
      <c r="C860" s="42" t="s">
        <v>199</v>
      </c>
      <c r="D860" s="42" t="s">
        <v>176</v>
      </c>
      <c r="E860" s="42" t="s">
        <v>206</v>
      </c>
      <c r="F860" s="42" t="s">
        <v>206</v>
      </c>
      <c r="G860" s="42" t="s">
        <v>200</v>
      </c>
      <c r="H860" s="42" t="s">
        <v>156</v>
      </c>
      <c r="I860" s="42"/>
      <c r="J860" s="43" t="s">
        <v>143</v>
      </c>
      <c r="K860" s="42" t="s">
        <v>196</v>
      </c>
      <c r="L860" s="42" t="s">
        <v>196</v>
      </c>
      <c r="M860" s="44" t="s">
        <v>1178</v>
      </c>
    </row>
    <row r="861" spans="1:13" x14ac:dyDescent="0.35">
      <c r="A861" s="42">
        <v>1171</v>
      </c>
      <c r="B861" s="42" t="s">
        <v>136</v>
      </c>
      <c r="C861" s="42" t="s">
        <v>199</v>
      </c>
      <c r="D861" s="42" t="s">
        <v>176</v>
      </c>
      <c r="E861" s="42" t="s">
        <v>206</v>
      </c>
      <c r="F861" s="42" t="s">
        <v>206</v>
      </c>
      <c r="G861" s="42" t="s">
        <v>200</v>
      </c>
      <c r="H861" s="42" t="s">
        <v>156</v>
      </c>
      <c r="I861" s="42"/>
      <c r="J861" s="43" t="s">
        <v>143</v>
      </c>
      <c r="K861" s="42" t="s">
        <v>196</v>
      </c>
      <c r="L861" s="42" t="s">
        <v>196</v>
      </c>
      <c r="M861" s="44" t="s">
        <v>1179</v>
      </c>
    </row>
    <row r="862" spans="1:13" x14ac:dyDescent="0.35">
      <c r="A862" s="42">
        <v>1171</v>
      </c>
      <c r="B862" s="42" t="s">
        <v>136</v>
      </c>
      <c r="C862" s="42" t="s">
        <v>199</v>
      </c>
      <c r="D862" s="42" t="s">
        <v>176</v>
      </c>
      <c r="E862" s="42" t="s">
        <v>206</v>
      </c>
      <c r="F862" s="42" t="s">
        <v>206</v>
      </c>
      <c r="G862" s="42" t="s">
        <v>200</v>
      </c>
      <c r="H862" s="42" t="s">
        <v>156</v>
      </c>
      <c r="I862" s="42"/>
      <c r="J862" s="43" t="s">
        <v>143</v>
      </c>
      <c r="K862" s="42" t="s">
        <v>144</v>
      </c>
      <c r="L862" s="42" t="s">
        <v>250</v>
      </c>
      <c r="M862" s="44" t="s">
        <v>1180</v>
      </c>
    </row>
    <row r="863" spans="1:13" ht="25" x14ac:dyDescent="0.35">
      <c r="A863" s="42">
        <v>1111</v>
      </c>
      <c r="B863" s="42" t="s">
        <v>136</v>
      </c>
      <c r="C863" s="42" t="s">
        <v>137</v>
      </c>
      <c r="D863" s="42" t="s">
        <v>159</v>
      </c>
      <c r="E863" s="42" t="s">
        <v>160</v>
      </c>
      <c r="F863" s="42" t="s">
        <v>160</v>
      </c>
      <c r="G863" s="42" t="s">
        <v>141</v>
      </c>
      <c r="H863" s="42" t="s">
        <v>177</v>
      </c>
      <c r="I863" s="42">
        <v>5</v>
      </c>
      <c r="J863" s="43" t="s">
        <v>143</v>
      </c>
      <c r="K863" s="42" t="s">
        <v>84</v>
      </c>
      <c r="L863" s="42" t="s">
        <v>424</v>
      </c>
      <c r="M863" s="44" t="s">
        <v>1181</v>
      </c>
    </row>
    <row r="864" spans="1:13" x14ac:dyDescent="0.35">
      <c r="A864" s="42">
        <v>1111</v>
      </c>
      <c r="B864" s="42" t="s">
        <v>136</v>
      </c>
      <c r="C864" s="42" t="s">
        <v>137</v>
      </c>
      <c r="D864" s="42" t="s">
        <v>159</v>
      </c>
      <c r="E864" s="42" t="s">
        <v>160</v>
      </c>
      <c r="F864" s="42" t="s">
        <v>160</v>
      </c>
      <c r="G864" s="42" t="s">
        <v>141</v>
      </c>
      <c r="H864" s="42" t="s">
        <v>166</v>
      </c>
      <c r="I864" s="42">
        <v>3</v>
      </c>
      <c r="J864" s="43" t="s">
        <v>143</v>
      </c>
      <c r="K864" s="42" t="s">
        <v>50</v>
      </c>
      <c r="L864" s="42" t="s">
        <v>1091</v>
      </c>
      <c r="M864" s="44" t="s">
        <v>1182</v>
      </c>
    </row>
    <row r="865" spans="1:13" ht="25" x14ac:dyDescent="0.35">
      <c r="A865" s="42">
        <v>1111</v>
      </c>
      <c r="B865" s="42" t="s">
        <v>136</v>
      </c>
      <c r="C865" s="42" t="s">
        <v>137</v>
      </c>
      <c r="D865" s="42" t="s">
        <v>159</v>
      </c>
      <c r="E865" s="42" t="s">
        <v>160</v>
      </c>
      <c r="F865" s="42" t="s">
        <v>160</v>
      </c>
      <c r="G865" s="42" t="s">
        <v>141</v>
      </c>
      <c r="H865" s="42" t="s">
        <v>180</v>
      </c>
      <c r="I865" s="42">
        <v>4</v>
      </c>
      <c r="J865" s="43" t="s">
        <v>143</v>
      </c>
      <c r="K865" s="42" t="s">
        <v>196</v>
      </c>
      <c r="L865" s="42" t="s">
        <v>196</v>
      </c>
      <c r="M865" s="44" t="s">
        <v>1183</v>
      </c>
    </row>
    <row r="866" spans="1:13" x14ac:dyDescent="0.35">
      <c r="A866" s="42">
        <v>1111</v>
      </c>
      <c r="B866" s="42" t="s">
        <v>136</v>
      </c>
      <c r="C866" s="42" t="s">
        <v>137</v>
      </c>
      <c r="D866" s="42" t="s">
        <v>159</v>
      </c>
      <c r="E866" s="42" t="s">
        <v>160</v>
      </c>
      <c r="F866" s="42" t="s">
        <v>160</v>
      </c>
      <c r="G866" s="42" t="s">
        <v>141</v>
      </c>
      <c r="H866" s="42" t="s">
        <v>146</v>
      </c>
      <c r="I866" s="42">
        <v>5</v>
      </c>
      <c r="J866" s="43" t="s">
        <v>143</v>
      </c>
      <c r="K866" s="42" t="s">
        <v>196</v>
      </c>
      <c r="L866" s="42" t="s">
        <v>196</v>
      </c>
      <c r="M866" s="44" t="s">
        <v>1184</v>
      </c>
    </row>
    <row r="867" spans="1:13" x14ac:dyDescent="0.35">
      <c r="A867" s="42">
        <v>1111</v>
      </c>
      <c r="B867" s="42" t="s">
        <v>136</v>
      </c>
      <c r="C867" s="42" t="s">
        <v>137</v>
      </c>
      <c r="D867" s="42" t="s">
        <v>159</v>
      </c>
      <c r="E867" s="42" t="s">
        <v>160</v>
      </c>
      <c r="F867" s="42" t="s">
        <v>160</v>
      </c>
      <c r="G867" s="42" t="s">
        <v>141</v>
      </c>
      <c r="H867" s="42" t="s">
        <v>150</v>
      </c>
      <c r="I867" s="42"/>
      <c r="J867" s="45" t="s">
        <v>147</v>
      </c>
      <c r="K867" s="42" t="s">
        <v>187</v>
      </c>
      <c r="L867" s="42" t="s">
        <v>1185</v>
      </c>
      <c r="M867" s="44" t="s">
        <v>1186</v>
      </c>
    </row>
    <row r="868" spans="1:13" x14ac:dyDescent="0.35">
      <c r="A868" s="42">
        <v>1111</v>
      </c>
      <c r="B868" s="42" t="s">
        <v>136</v>
      </c>
      <c r="C868" s="42" t="s">
        <v>137</v>
      </c>
      <c r="D868" s="42" t="s">
        <v>159</v>
      </c>
      <c r="E868" s="42" t="s">
        <v>160</v>
      </c>
      <c r="F868" s="42" t="s">
        <v>160</v>
      </c>
      <c r="G868" s="42" t="s">
        <v>141</v>
      </c>
      <c r="H868" s="42" t="s">
        <v>150</v>
      </c>
      <c r="I868" s="42"/>
      <c r="J868" s="45" t="s">
        <v>147</v>
      </c>
      <c r="K868" s="42" t="s">
        <v>184</v>
      </c>
      <c r="L868" s="42" t="s">
        <v>184</v>
      </c>
      <c r="M868" s="44" t="s">
        <v>1187</v>
      </c>
    </row>
    <row r="869" spans="1:13" x14ac:dyDescent="0.35">
      <c r="A869" s="42">
        <v>1111</v>
      </c>
      <c r="B869" s="42" t="s">
        <v>136</v>
      </c>
      <c r="C869" s="42" t="s">
        <v>137</v>
      </c>
      <c r="D869" s="42" t="s">
        <v>159</v>
      </c>
      <c r="E869" s="42" t="s">
        <v>160</v>
      </c>
      <c r="F869" s="42" t="s">
        <v>160</v>
      </c>
      <c r="G869" s="42" t="s">
        <v>141</v>
      </c>
      <c r="H869" s="42" t="s">
        <v>150</v>
      </c>
      <c r="I869" s="42"/>
      <c r="J869" s="45" t="s">
        <v>147</v>
      </c>
      <c r="K869" s="42" t="s">
        <v>78</v>
      </c>
      <c r="L869" s="42" t="s">
        <v>78</v>
      </c>
      <c r="M869" s="44" t="s">
        <v>1188</v>
      </c>
    </row>
    <row r="870" spans="1:13" x14ac:dyDescent="0.35">
      <c r="A870" s="42">
        <v>1111</v>
      </c>
      <c r="B870" s="42" t="s">
        <v>136</v>
      </c>
      <c r="C870" s="42" t="s">
        <v>137</v>
      </c>
      <c r="D870" s="42" t="s">
        <v>159</v>
      </c>
      <c r="E870" s="42" t="s">
        <v>160</v>
      </c>
      <c r="F870" s="42" t="s">
        <v>160</v>
      </c>
      <c r="G870" s="42" t="s">
        <v>141</v>
      </c>
      <c r="H870" s="42" t="s">
        <v>156</v>
      </c>
      <c r="I870" s="42"/>
      <c r="J870" s="43" t="s">
        <v>143</v>
      </c>
      <c r="K870" s="42" t="s">
        <v>196</v>
      </c>
      <c r="L870" s="42" t="s">
        <v>196</v>
      </c>
      <c r="M870" s="44" t="s">
        <v>427</v>
      </c>
    </row>
    <row r="871" spans="1:13" x14ac:dyDescent="0.35">
      <c r="A871" s="42">
        <v>1111</v>
      </c>
      <c r="B871" s="42" t="s">
        <v>136</v>
      </c>
      <c r="C871" s="42" t="s">
        <v>137</v>
      </c>
      <c r="D871" s="42" t="s">
        <v>159</v>
      </c>
      <c r="E871" s="42" t="s">
        <v>160</v>
      </c>
      <c r="F871" s="42" t="s">
        <v>160</v>
      </c>
      <c r="G871" s="42" t="s">
        <v>141</v>
      </c>
      <c r="H871" s="42" t="s">
        <v>156</v>
      </c>
      <c r="I871" s="42"/>
      <c r="J871" s="43" t="s">
        <v>143</v>
      </c>
      <c r="K871" s="42" t="s">
        <v>196</v>
      </c>
      <c r="L871" s="42" t="s">
        <v>517</v>
      </c>
      <c r="M871" s="44" t="s">
        <v>1189</v>
      </c>
    </row>
    <row r="872" spans="1:13" x14ac:dyDescent="0.35">
      <c r="A872" s="42">
        <v>1160</v>
      </c>
      <c r="B872" s="42" t="s">
        <v>175</v>
      </c>
      <c r="C872" s="42" t="s">
        <v>199</v>
      </c>
      <c r="D872" s="42" t="s">
        <v>176</v>
      </c>
      <c r="E872" s="42" t="s">
        <v>160</v>
      </c>
      <c r="F872" s="42" t="s">
        <v>160</v>
      </c>
      <c r="G872" s="42" t="s">
        <v>141</v>
      </c>
      <c r="H872" s="42" t="s">
        <v>166</v>
      </c>
      <c r="I872" s="42">
        <v>2</v>
      </c>
      <c r="J872" s="43" t="s">
        <v>143</v>
      </c>
      <c r="K872" s="42" t="s">
        <v>196</v>
      </c>
      <c r="L872" s="42" t="s">
        <v>450</v>
      </c>
      <c r="M872" s="44" t="s">
        <v>1190</v>
      </c>
    </row>
    <row r="873" spans="1:13" ht="25" x14ac:dyDescent="0.35">
      <c r="A873" s="42">
        <v>1160</v>
      </c>
      <c r="B873" s="42" t="s">
        <v>175</v>
      </c>
      <c r="C873" s="42" t="s">
        <v>199</v>
      </c>
      <c r="D873" s="42" t="s">
        <v>176</v>
      </c>
      <c r="E873" s="42" t="s">
        <v>160</v>
      </c>
      <c r="F873" s="42" t="s">
        <v>160</v>
      </c>
      <c r="G873" s="42" t="s">
        <v>141</v>
      </c>
      <c r="H873" s="42" t="s">
        <v>180</v>
      </c>
      <c r="I873" s="42">
        <v>5</v>
      </c>
      <c r="J873" s="43" t="s">
        <v>143</v>
      </c>
      <c r="K873" s="42" t="s">
        <v>196</v>
      </c>
      <c r="L873" s="42" t="s">
        <v>517</v>
      </c>
      <c r="M873" s="44" t="s">
        <v>1191</v>
      </c>
    </row>
    <row r="874" spans="1:13" ht="37.5" x14ac:dyDescent="0.35">
      <c r="A874" s="42">
        <v>1160</v>
      </c>
      <c r="B874" s="42" t="s">
        <v>175</v>
      </c>
      <c r="C874" s="42" t="s">
        <v>199</v>
      </c>
      <c r="D874" s="42" t="s">
        <v>176</v>
      </c>
      <c r="E874" s="42" t="s">
        <v>160</v>
      </c>
      <c r="F874" s="42" t="s">
        <v>160</v>
      </c>
      <c r="G874" s="42" t="s">
        <v>141</v>
      </c>
      <c r="H874" s="42" t="s">
        <v>183</v>
      </c>
      <c r="I874" s="42">
        <v>3</v>
      </c>
      <c r="J874" s="43" t="s">
        <v>143</v>
      </c>
      <c r="K874" s="42" t="s">
        <v>184</v>
      </c>
      <c r="L874" s="42" t="s">
        <v>208</v>
      </c>
      <c r="M874" s="44" t="s">
        <v>1192</v>
      </c>
    </row>
    <row r="875" spans="1:13" ht="25" x14ac:dyDescent="0.35">
      <c r="A875" s="42">
        <v>1160</v>
      </c>
      <c r="B875" s="42" t="s">
        <v>175</v>
      </c>
      <c r="C875" s="42" t="s">
        <v>199</v>
      </c>
      <c r="D875" s="42" t="s">
        <v>176</v>
      </c>
      <c r="E875" s="42" t="s">
        <v>160</v>
      </c>
      <c r="F875" s="42" t="s">
        <v>160</v>
      </c>
      <c r="G875" s="42" t="s">
        <v>141</v>
      </c>
      <c r="H875" s="42" t="s">
        <v>146</v>
      </c>
      <c r="I875" s="42">
        <v>5</v>
      </c>
      <c r="J875" s="43" t="s">
        <v>143</v>
      </c>
      <c r="K875" s="42" t="s">
        <v>50</v>
      </c>
      <c r="L875" s="42" t="s">
        <v>1193</v>
      </c>
      <c r="M875" s="44" t="s">
        <v>1194</v>
      </c>
    </row>
    <row r="876" spans="1:13" x14ac:dyDescent="0.35">
      <c r="A876" s="42">
        <v>1160</v>
      </c>
      <c r="B876" s="42" t="s">
        <v>175</v>
      </c>
      <c r="C876" s="42" t="s">
        <v>199</v>
      </c>
      <c r="D876" s="42" t="s">
        <v>176</v>
      </c>
      <c r="E876" s="42" t="s">
        <v>160</v>
      </c>
      <c r="F876" s="42" t="s">
        <v>160</v>
      </c>
      <c r="G876" s="42" t="s">
        <v>141</v>
      </c>
      <c r="H876" s="42" t="s">
        <v>150</v>
      </c>
      <c r="I876" s="42"/>
      <c r="J876" s="45" t="s">
        <v>147</v>
      </c>
      <c r="K876" s="42" t="s">
        <v>78</v>
      </c>
      <c r="L876" s="42" t="s">
        <v>335</v>
      </c>
      <c r="M876" s="44" t="s">
        <v>1195</v>
      </c>
    </row>
    <row r="877" spans="1:13" x14ac:dyDescent="0.35">
      <c r="A877" s="42">
        <v>1160</v>
      </c>
      <c r="B877" s="42" t="s">
        <v>175</v>
      </c>
      <c r="C877" s="42" t="s">
        <v>199</v>
      </c>
      <c r="D877" s="42" t="s">
        <v>176</v>
      </c>
      <c r="E877" s="42" t="s">
        <v>160</v>
      </c>
      <c r="F877" s="42" t="s">
        <v>160</v>
      </c>
      <c r="G877" s="42" t="s">
        <v>141</v>
      </c>
      <c r="H877" s="42" t="s">
        <v>150</v>
      </c>
      <c r="I877" s="42"/>
      <c r="J877" s="45" t="s">
        <v>147</v>
      </c>
      <c r="K877" s="42" t="s">
        <v>210</v>
      </c>
      <c r="L877" s="42" t="s">
        <v>210</v>
      </c>
      <c r="M877" s="44" t="s">
        <v>1196</v>
      </c>
    </row>
    <row r="878" spans="1:13" ht="25" x14ac:dyDescent="0.35">
      <c r="A878" s="42">
        <v>1160</v>
      </c>
      <c r="B878" s="42" t="s">
        <v>175</v>
      </c>
      <c r="C878" s="42" t="s">
        <v>199</v>
      </c>
      <c r="D878" s="42" t="s">
        <v>176</v>
      </c>
      <c r="E878" s="42" t="s">
        <v>160</v>
      </c>
      <c r="F878" s="42" t="s">
        <v>160</v>
      </c>
      <c r="G878" s="42" t="s">
        <v>141</v>
      </c>
      <c r="H878" s="42" t="s">
        <v>150</v>
      </c>
      <c r="I878" s="42"/>
      <c r="J878" s="45" t="s">
        <v>147</v>
      </c>
      <c r="K878" s="42" t="s">
        <v>268</v>
      </c>
      <c r="L878" s="42" t="s">
        <v>515</v>
      </c>
      <c r="M878" s="44" t="s">
        <v>1197</v>
      </c>
    </row>
    <row r="879" spans="1:13" x14ac:dyDescent="0.35">
      <c r="A879" s="42">
        <v>1160</v>
      </c>
      <c r="B879" s="42" t="s">
        <v>175</v>
      </c>
      <c r="C879" s="42" t="s">
        <v>199</v>
      </c>
      <c r="D879" s="42" t="s">
        <v>176</v>
      </c>
      <c r="E879" s="42" t="s">
        <v>160</v>
      </c>
      <c r="F879" s="42" t="s">
        <v>160</v>
      </c>
      <c r="G879" s="42" t="s">
        <v>141</v>
      </c>
      <c r="H879" s="42" t="s">
        <v>156</v>
      </c>
      <c r="I879" s="42"/>
      <c r="J879" s="43" t="s">
        <v>143</v>
      </c>
      <c r="K879" s="42" t="s">
        <v>50</v>
      </c>
      <c r="L879" s="42" t="s">
        <v>50</v>
      </c>
      <c r="M879" s="44" t="s">
        <v>1198</v>
      </c>
    </row>
    <row r="880" spans="1:13" x14ac:dyDescent="0.35">
      <c r="A880" s="42">
        <v>1160</v>
      </c>
      <c r="B880" s="42" t="s">
        <v>175</v>
      </c>
      <c r="C880" s="42" t="s">
        <v>199</v>
      </c>
      <c r="D880" s="42" t="s">
        <v>176</v>
      </c>
      <c r="E880" s="42" t="s">
        <v>160</v>
      </c>
      <c r="F880" s="42" t="s">
        <v>160</v>
      </c>
      <c r="G880" s="42" t="s">
        <v>141</v>
      </c>
      <c r="H880" s="42" t="s">
        <v>156</v>
      </c>
      <c r="I880" s="42"/>
      <c r="J880" s="43" t="s">
        <v>143</v>
      </c>
      <c r="K880" s="42" t="s">
        <v>144</v>
      </c>
      <c r="L880" s="42" t="s">
        <v>144</v>
      </c>
      <c r="M880" s="44" t="s">
        <v>1199</v>
      </c>
    </row>
    <row r="881" spans="1:13" ht="25" x14ac:dyDescent="0.35">
      <c r="A881" s="42">
        <v>1278</v>
      </c>
      <c r="B881" s="42" t="s">
        <v>136</v>
      </c>
      <c r="C881" s="42" t="s">
        <v>137</v>
      </c>
      <c r="D881" s="42" t="s">
        <v>176</v>
      </c>
      <c r="E881" s="42" t="s">
        <v>160</v>
      </c>
      <c r="F881" s="42" t="s">
        <v>160</v>
      </c>
      <c r="G881" s="42" t="s">
        <v>141</v>
      </c>
      <c r="H881" s="42" t="s">
        <v>180</v>
      </c>
      <c r="I881" s="42">
        <v>2</v>
      </c>
      <c r="J881" s="43" t="s">
        <v>143</v>
      </c>
      <c r="K881" s="42" t="s">
        <v>333</v>
      </c>
      <c r="L881" s="42" t="s">
        <v>1200</v>
      </c>
      <c r="M881" s="44" t="s">
        <v>1201</v>
      </c>
    </row>
    <row r="882" spans="1:13" ht="25" x14ac:dyDescent="0.35">
      <c r="A882" s="42">
        <v>1278</v>
      </c>
      <c r="B882" s="42" t="s">
        <v>136</v>
      </c>
      <c r="C882" s="42" t="s">
        <v>137</v>
      </c>
      <c r="D882" s="42" t="s">
        <v>176</v>
      </c>
      <c r="E882" s="42" t="s">
        <v>160</v>
      </c>
      <c r="F882" s="42" t="s">
        <v>160</v>
      </c>
      <c r="G882" s="42" t="s">
        <v>141</v>
      </c>
      <c r="H882" s="42" t="s">
        <v>146</v>
      </c>
      <c r="I882" s="42">
        <v>5</v>
      </c>
      <c r="J882" s="43" t="s">
        <v>143</v>
      </c>
      <c r="K882" s="42" t="s">
        <v>144</v>
      </c>
      <c r="L882" s="42" t="s">
        <v>250</v>
      </c>
      <c r="M882" s="44" t="s">
        <v>1202</v>
      </c>
    </row>
    <row r="883" spans="1:13" x14ac:dyDescent="0.35">
      <c r="A883" s="42">
        <v>1278</v>
      </c>
      <c r="B883" s="42" t="s">
        <v>136</v>
      </c>
      <c r="C883" s="42" t="s">
        <v>137</v>
      </c>
      <c r="D883" s="42" t="s">
        <v>176</v>
      </c>
      <c r="E883" s="42" t="s">
        <v>160</v>
      </c>
      <c r="F883" s="42" t="s">
        <v>160</v>
      </c>
      <c r="G883" s="42" t="s">
        <v>141</v>
      </c>
      <c r="H883" s="42" t="s">
        <v>150</v>
      </c>
      <c r="I883" s="42"/>
      <c r="J883" s="45" t="s">
        <v>147</v>
      </c>
      <c r="K883" s="42" t="s">
        <v>76</v>
      </c>
      <c r="L883" s="42" t="s">
        <v>76</v>
      </c>
      <c r="M883" s="44" t="s">
        <v>1203</v>
      </c>
    </row>
    <row r="884" spans="1:13" x14ac:dyDescent="0.35">
      <c r="A884" s="42">
        <v>1278</v>
      </c>
      <c r="B884" s="42" t="s">
        <v>136</v>
      </c>
      <c r="C884" s="42" t="s">
        <v>137</v>
      </c>
      <c r="D884" s="42" t="s">
        <v>176</v>
      </c>
      <c r="E884" s="42" t="s">
        <v>160</v>
      </c>
      <c r="F884" s="42" t="s">
        <v>160</v>
      </c>
      <c r="G884" s="42" t="s">
        <v>141</v>
      </c>
      <c r="H884" s="42" t="s">
        <v>150</v>
      </c>
      <c r="I884" s="42"/>
      <c r="J884" s="45" t="s">
        <v>147</v>
      </c>
      <c r="K884" s="42" t="s">
        <v>78</v>
      </c>
      <c r="L884" s="42" t="s">
        <v>78</v>
      </c>
      <c r="M884" s="44" t="s">
        <v>1204</v>
      </c>
    </row>
    <row r="885" spans="1:13" x14ac:dyDescent="0.35">
      <c r="A885" s="42">
        <v>1278</v>
      </c>
      <c r="B885" s="42" t="s">
        <v>136</v>
      </c>
      <c r="C885" s="42" t="s">
        <v>137</v>
      </c>
      <c r="D885" s="42" t="s">
        <v>176</v>
      </c>
      <c r="E885" s="42" t="s">
        <v>160</v>
      </c>
      <c r="F885" s="42" t="s">
        <v>160</v>
      </c>
      <c r="G885" s="42" t="s">
        <v>141</v>
      </c>
      <c r="H885" s="42" t="s">
        <v>150</v>
      </c>
      <c r="I885" s="42"/>
      <c r="J885" s="45" t="s">
        <v>147</v>
      </c>
      <c r="K885" s="42" t="s">
        <v>190</v>
      </c>
      <c r="L885" s="42" t="s">
        <v>190</v>
      </c>
      <c r="M885" s="44" t="s">
        <v>1205</v>
      </c>
    </row>
    <row r="886" spans="1:13" x14ac:dyDescent="0.35">
      <c r="A886" s="42">
        <v>1278</v>
      </c>
      <c r="B886" s="42" t="s">
        <v>136</v>
      </c>
      <c r="C886" s="42" t="s">
        <v>137</v>
      </c>
      <c r="D886" s="42" t="s">
        <v>176</v>
      </c>
      <c r="E886" s="42" t="s">
        <v>160</v>
      </c>
      <c r="F886" s="42" t="s">
        <v>160</v>
      </c>
      <c r="G886" s="42" t="s">
        <v>141</v>
      </c>
      <c r="H886" s="42" t="s">
        <v>156</v>
      </c>
      <c r="I886" s="42"/>
      <c r="J886" s="43" t="s">
        <v>143</v>
      </c>
      <c r="K886" s="42" t="s">
        <v>190</v>
      </c>
      <c r="L886" s="42" t="s">
        <v>190</v>
      </c>
      <c r="M886" s="44" t="s">
        <v>1206</v>
      </c>
    </row>
    <row r="887" spans="1:13" x14ac:dyDescent="0.35">
      <c r="A887" s="42">
        <v>1278</v>
      </c>
      <c r="B887" s="42" t="s">
        <v>136</v>
      </c>
      <c r="C887" s="42" t="s">
        <v>137</v>
      </c>
      <c r="D887" s="42" t="s">
        <v>176</v>
      </c>
      <c r="E887" s="42" t="s">
        <v>160</v>
      </c>
      <c r="F887" s="42" t="s">
        <v>160</v>
      </c>
      <c r="G887" s="42" t="s">
        <v>141</v>
      </c>
      <c r="H887" s="42" t="s">
        <v>156</v>
      </c>
      <c r="I887" s="42"/>
      <c r="J887" s="43" t="s">
        <v>143</v>
      </c>
      <c r="K887" s="42" t="s">
        <v>333</v>
      </c>
      <c r="L887" s="42" t="s">
        <v>603</v>
      </c>
      <c r="M887" s="44" t="s">
        <v>1207</v>
      </c>
    </row>
    <row r="888" spans="1:13" x14ac:dyDescent="0.35">
      <c r="A888" s="42">
        <v>1278</v>
      </c>
      <c r="B888" s="42" t="s">
        <v>136</v>
      </c>
      <c r="C888" s="42" t="s">
        <v>137</v>
      </c>
      <c r="D888" s="42" t="s">
        <v>176</v>
      </c>
      <c r="E888" s="42" t="s">
        <v>160</v>
      </c>
      <c r="F888" s="42" t="s">
        <v>160</v>
      </c>
      <c r="G888" s="42" t="s">
        <v>141</v>
      </c>
      <c r="H888" s="42" t="s">
        <v>156</v>
      </c>
      <c r="I888" s="42"/>
      <c r="J888" s="43" t="s">
        <v>143</v>
      </c>
      <c r="K888" s="42" t="s">
        <v>196</v>
      </c>
      <c r="L888" s="42" t="s">
        <v>196</v>
      </c>
      <c r="M888" s="44" t="s">
        <v>1208</v>
      </c>
    </row>
    <row r="889" spans="1:13" ht="25" x14ac:dyDescent="0.35">
      <c r="A889" s="42">
        <v>1302</v>
      </c>
      <c r="B889" s="42" t="s">
        <v>136</v>
      </c>
      <c r="C889" s="42" t="s">
        <v>199</v>
      </c>
      <c r="D889" s="42" t="s">
        <v>138</v>
      </c>
      <c r="E889" s="42" t="s">
        <v>160</v>
      </c>
      <c r="F889" s="42" t="s">
        <v>160</v>
      </c>
      <c r="G889" s="42" t="s">
        <v>141</v>
      </c>
      <c r="H889" s="42" t="s">
        <v>142</v>
      </c>
      <c r="I889" s="42">
        <v>4</v>
      </c>
      <c r="J889" s="43" t="s">
        <v>143</v>
      </c>
      <c r="K889" s="42" t="s">
        <v>262</v>
      </c>
      <c r="L889" s="42" t="s">
        <v>1209</v>
      </c>
      <c r="M889" s="44" t="s">
        <v>1210</v>
      </c>
    </row>
    <row r="890" spans="1:13" x14ac:dyDescent="0.35">
      <c r="A890" s="42">
        <v>1302</v>
      </c>
      <c r="B890" s="42" t="s">
        <v>136</v>
      </c>
      <c r="C890" s="42" t="s">
        <v>199</v>
      </c>
      <c r="D890" s="42" t="s">
        <v>138</v>
      </c>
      <c r="E890" s="42" t="s">
        <v>160</v>
      </c>
      <c r="F890" s="42" t="s">
        <v>160</v>
      </c>
      <c r="G890" s="42" t="s">
        <v>141</v>
      </c>
      <c r="H890" s="42" t="s">
        <v>180</v>
      </c>
      <c r="I890" s="42">
        <v>6</v>
      </c>
      <c r="J890" s="43" t="s">
        <v>143</v>
      </c>
      <c r="K890" s="42" t="s">
        <v>196</v>
      </c>
      <c r="L890" s="42" t="s">
        <v>196</v>
      </c>
      <c r="M890" s="44" t="s">
        <v>1211</v>
      </c>
    </row>
    <row r="891" spans="1:13" ht="25" x14ac:dyDescent="0.35">
      <c r="A891" s="42">
        <v>1302</v>
      </c>
      <c r="B891" s="42" t="s">
        <v>136</v>
      </c>
      <c r="C891" s="42" t="s">
        <v>199</v>
      </c>
      <c r="D891" s="42" t="s">
        <v>138</v>
      </c>
      <c r="E891" s="42" t="s">
        <v>160</v>
      </c>
      <c r="F891" s="42" t="s">
        <v>160</v>
      </c>
      <c r="G891" s="42" t="s">
        <v>141</v>
      </c>
      <c r="H891" s="42" t="s">
        <v>183</v>
      </c>
      <c r="I891" s="42">
        <v>3</v>
      </c>
      <c r="J891" s="43" t="s">
        <v>143</v>
      </c>
      <c r="K891" s="42" t="s">
        <v>184</v>
      </c>
      <c r="L891" s="42" t="s">
        <v>1212</v>
      </c>
      <c r="M891" s="44" t="s">
        <v>1213</v>
      </c>
    </row>
    <row r="892" spans="1:13" x14ac:dyDescent="0.35">
      <c r="A892" s="42">
        <v>1302</v>
      </c>
      <c r="B892" s="42" t="s">
        <v>136</v>
      </c>
      <c r="C892" s="42" t="s">
        <v>199</v>
      </c>
      <c r="D892" s="42" t="s">
        <v>138</v>
      </c>
      <c r="E892" s="42" t="s">
        <v>160</v>
      </c>
      <c r="F892" s="42" t="s">
        <v>160</v>
      </c>
      <c r="G892" s="42" t="s">
        <v>141</v>
      </c>
      <c r="H892" s="42" t="s">
        <v>146</v>
      </c>
      <c r="I892" s="42">
        <v>5</v>
      </c>
      <c r="J892" s="43" t="s">
        <v>143</v>
      </c>
      <c r="K892" s="42" t="s">
        <v>210</v>
      </c>
      <c r="L892" s="42" t="s">
        <v>210</v>
      </c>
      <c r="M892" s="44" t="s">
        <v>1214</v>
      </c>
    </row>
    <row r="893" spans="1:13" x14ac:dyDescent="0.35">
      <c r="A893" s="42">
        <v>1302</v>
      </c>
      <c r="B893" s="42" t="s">
        <v>136</v>
      </c>
      <c r="C893" s="42" t="s">
        <v>199</v>
      </c>
      <c r="D893" s="42" t="s">
        <v>138</v>
      </c>
      <c r="E893" s="42" t="s">
        <v>160</v>
      </c>
      <c r="F893" s="42" t="s">
        <v>160</v>
      </c>
      <c r="G893" s="42" t="s">
        <v>141</v>
      </c>
      <c r="H893" s="42" t="s">
        <v>150</v>
      </c>
      <c r="I893" s="42"/>
      <c r="J893" s="45" t="s">
        <v>147</v>
      </c>
      <c r="K893" s="42" t="s">
        <v>76</v>
      </c>
      <c r="L893" s="42" t="s">
        <v>446</v>
      </c>
      <c r="M893" s="44" t="s">
        <v>1215</v>
      </c>
    </row>
    <row r="894" spans="1:13" x14ac:dyDescent="0.35">
      <c r="A894" s="42">
        <v>1302</v>
      </c>
      <c r="B894" s="42" t="s">
        <v>136</v>
      </c>
      <c r="C894" s="42" t="s">
        <v>199</v>
      </c>
      <c r="D894" s="42" t="s">
        <v>138</v>
      </c>
      <c r="E894" s="42" t="s">
        <v>160</v>
      </c>
      <c r="F894" s="42" t="s">
        <v>160</v>
      </c>
      <c r="G894" s="42" t="s">
        <v>141</v>
      </c>
      <c r="H894" s="42" t="s">
        <v>150</v>
      </c>
      <c r="I894" s="42"/>
      <c r="J894" s="45" t="s">
        <v>147</v>
      </c>
      <c r="K894" s="42" t="s">
        <v>196</v>
      </c>
      <c r="L894" s="42" t="s">
        <v>201</v>
      </c>
      <c r="M894" s="44" t="s">
        <v>1216</v>
      </c>
    </row>
    <row r="895" spans="1:13" x14ac:dyDescent="0.35">
      <c r="A895" s="42">
        <v>1302</v>
      </c>
      <c r="B895" s="42" t="s">
        <v>136</v>
      </c>
      <c r="C895" s="42" t="s">
        <v>199</v>
      </c>
      <c r="D895" s="42" t="s">
        <v>138</v>
      </c>
      <c r="E895" s="42" t="s">
        <v>160</v>
      </c>
      <c r="F895" s="42" t="s">
        <v>160</v>
      </c>
      <c r="G895" s="42" t="s">
        <v>141</v>
      </c>
      <c r="H895" s="42" t="s">
        <v>150</v>
      </c>
      <c r="I895" s="42"/>
      <c r="J895" s="45" t="s">
        <v>147</v>
      </c>
      <c r="K895" s="42" t="s">
        <v>80</v>
      </c>
      <c r="L895" s="42" t="s">
        <v>80</v>
      </c>
      <c r="M895" s="44" t="s">
        <v>1217</v>
      </c>
    </row>
    <row r="896" spans="1:13" x14ac:dyDescent="0.35">
      <c r="A896" s="42">
        <v>1302</v>
      </c>
      <c r="B896" s="42" t="s">
        <v>136</v>
      </c>
      <c r="C896" s="42" t="s">
        <v>199</v>
      </c>
      <c r="D896" s="42" t="s">
        <v>138</v>
      </c>
      <c r="E896" s="42" t="s">
        <v>160</v>
      </c>
      <c r="F896" s="42" t="s">
        <v>160</v>
      </c>
      <c r="G896" s="42" t="s">
        <v>141</v>
      </c>
      <c r="H896" s="42" t="s">
        <v>156</v>
      </c>
      <c r="I896" s="42"/>
      <c r="J896" s="43" t="s">
        <v>143</v>
      </c>
      <c r="K896" s="42" t="s">
        <v>210</v>
      </c>
      <c r="L896" s="42" t="s">
        <v>210</v>
      </c>
      <c r="M896" s="44" t="s">
        <v>1218</v>
      </c>
    </row>
    <row r="897" spans="1:13" x14ac:dyDescent="0.35">
      <c r="A897" s="42">
        <v>1302</v>
      </c>
      <c r="B897" s="42" t="s">
        <v>136</v>
      </c>
      <c r="C897" s="42" t="s">
        <v>199</v>
      </c>
      <c r="D897" s="42" t="s">
        <v>138</v>
      </c>
      <c r="E897" s="42" t="s">
        <v>160</v>
      </c>
      <c r="F897" s="42" t="s">
        <v>160</v>
      </c>
      <c r="G897" s="42" t="s">
        <v>141</v>
      </c>
      <c r="H897" s="42" t="s">
        <v>156</v>
      </c>
      <c r="I897" s="42"/>
      <c r="J897" s="43" t="s">
        <v>143</v>
      </c>
      <c r="K897" s="42" t="s">
        <v>144</v>
      </c>
      <c r="L897" s="42" t="s">
        <v>250</v>
      </c>
      <c r="M897" s="44" t="s">
        <v>1219</v>
      </c>
    </row>
    <row r="898" spans="1:13" x14ac:dyDescent="0.35">
      <c r="A898" s="42">
        <v>1302</v>
      </c>
      <c r="B898" s="42" t="s">
        <v>136</v>
      </c>
      <c r="C898" s="42" t="s">
        <v>199</v>
      </c>
      <c r="D898" s="42" t="s">
        <v>138</v>
      </c>
      <c r="E898" s="42" t="s">
        <v>160</v>
      </c>
      <c r="F898" s="42" t="s">
        <v>160</v>
      </c>
      <c r="G898" s="42" t="s">
        <v>141</v>
      </c>
      <c r="H898" s="42" t="s">
        <v>156</v>
      </c>
      <c r="I898" s="42"/>
      <c r="J898" s="43" t="s">
        <v>143</v>
      </c>
      <c r="K898" s="42" t="s">
        <v>78</v>
      </c>
      <c r="L898" s="42" t="s">
        <v>78</v>
      </c>
      <c r="M898" s="44" t="s">
        <v>1220</v>
      </c>
    </row>
    <row r="899" spans="1:13" ht="25" x14ac:dyDescent="0.35">
      <c r="A899" s="42">
        <v>1185</v>
      </c>
      <c r="B899" s="42" t="s">
        <v>136</v>
      </c>
      <c r="C899" s="42" t="s">
        <v>137</v>
      </c>
      <c r="D899" s="42" t="s">
        <v>159</v>
      </c>
      <c r="E899" s="42" t="s">
        <v>274</v>
      </c>
      <c r="F899" s="42" t="s">
        <v>140</v>
      </c>
      <c r="G899" s="42" t="s">
        <v>141</v>
      </c>
      <c r="H899" s="42" t="s">
        <v>166</v>
      </c>
      <c r="I899" s="42">
        <v>3</v>
      </c>
      <c r="J899" s="43" t="s">
        <v>143</v>
      </c>
      <c r="K899" s="42" t="s">
        <v>196</v>
      </c>
      <c r="L899" s="42" t="s">
        <v>201</v>
      </c>
      <c r="M899" s="44" t="s">
        <v>1221</v>
      </c>
    </row>
    <row r="900" spans="1:13" x14ac:dyDescent="0.35">
      <c r="A900" s="42">
        <v>1185</v>
      </c>
      <c r="B900" s="42" t="s">
        <v>136</v>
      </c>
      <c r="C900" s="42" t="s">
        <v>137</v>
      </c>
      <c r="D900" s="42" t="s">
        <v>159</v>
      </c>
      <c r="E900" s="42" t="s">
        <v>274</v>
      </c>
      <c r="F900" s="42" t="s">
        <v>140</v>
      </c>
      <c r="G900" s="42" t="s">
        <v>141</v>
      </c>
      <c r="H900" s="42" t="s">
        <v>180</v>
      </c>
      <c r="I900" s="42">
        <v>5</v>
      </c>
      <c r="J900" s="43" t="s">
        <v>143</v>
      </c>
      <c r="K900" s="42" t="s">
        <v>78</v>
      </c>
      <c r="L900" s="42" t="s">
        <v>335</v>
      </c>
      <c r="M900" s="44" t="s">
        <v>1222</v>
      </c>
    </row>
    <row r="901" spans="1:13" x14ac:dyDescent="0.35">
      <c r="A901" s="42">
        <v>1185</v>
      </c>
      <c r="B901" s="42" t="s">
        <v>136</v>
      </c>
      <c r="C901" s="42" t="s">
        <v>137</v>
      </c>
      <c r="D901" s="42" t="s">
        <v>159</v>
      </c>
      <c r="E901" s="42" t="s">
        <v>274</v>
      </c>
      <c r="F901" s="42" t="s">
        <v>140</v>
      </c>
      <c r="G901" s="42" t="s">
        <v>141</v>
      </c>
      <c r="H901" s="42" t="s">
        <v>156</v>
      </c>
      <c r="I901" s="42"/>
      <c r="J901" s="43" t="s">
        <v>143</v>
      </c>
      <c r="K901" s="42" t="s">
        <v>144</v>
      </c>
      <c r="L901" s="42" t="s">
        <v>144</v>
      </c>
      <c r="M901" s="44" t="s">
        <v>1223</v>
      </c>
    </row>
    <row r="902" spans="1:13" x14ac:dyDescent="0.35">
      <c r="A902" s="42">
        <v>1185</v>
      </c>
      <c r="B902" s="42" t="s">
        <v>136</v>
      </c>
      <c r="C902" s="42" t="s">
        <v>137</v>
      </c>
      <c r="D902" s="42" t="s">
        <v>159</v>
      </c>
      <c r="E902" s="42" t="s">
        <v>274</v>
      </c>
      <c r="F902" s="42" t="s">
        <v>140</v>
      </c>
      <c r="G902" s="42" t="s">
        <v>141</v>
      </c>
      <c r="H902" s="42" t="s">
        <v>156</v>
      </c>
      <c r="I902" s="42"/>
      <c r="J902" s="43" t="s">
        <v>143</v>
      </c>
      <c r="K902" s="42" t="s">
        <v>50</v>
      </c>
      <c r="L902" s="42" t="s">
        <v>678</v>
      </c>
      <c r="M902" s="44" t="s">
        <v>1224</v>
      </c>
    </row>
    <row r="903" spans="1:13" x14ac:dyDescent="0.35">
      <c r="A903" s="42">
        <v>1185</v>
      </c>
      <c r="B903" s="42" t="s">
        <v>136</v>
      </c>
      <c r="C903" s="42" t="s">
        <v>137</v>
      </c>
      <c r="D903" s="42" t="s">
        <v>159</v>
      </c>
      <c r="E903" s="42" t="s">
        <v>274</v>
      </c>
      <c r="F903" s="42" t="s">
        <v>140</v>
      </c>
      <c r="G903" s="42" t="s">
        <v>141</v>
      </c>
      <c r="H903" s="42" t="s">
        <v>156</v>
      </c>
      <c r="I903" s="42"/>
      <c r="J903" s="43" t="s">
        <v>143</v>
      </c>
      <c r="K903" s="42" t="s">
        <v>210</v>
      </c>
      <c r="L903" s="42" t="s">
        <v>210</v>
      </c>
      <c r="M903" s="44" t="s">
        <v>1225</v>
      </c>
    </row>
    <row r="904" spans="1:13" ht="25" x14ac:dyDescent="0.35">
      <c r="A904" s="42">
        <v>976</v>
      </c>
      <c r="B904" s="42" t="s">
        <v>136</v>
      </c>
      <c r="C904" s="42" t="s">
        <v>199</v>
      </c>
      <c r="D904" s="42" t="s">
        <v>138</v>
      </c>
      <c r="E904" s="42" t="s">
        <v>160</v>
      </c>
      <c r="F904" s="42" t="s">
        <v>160</v>
      </c>
      <c r="G904" s="42" t="s">
        <v>141</v>
      </c>
      <c r="H904" s="42" t="s">
        <v>386</v>
      </c>
      <c r="I904" s="42">
        <v>6</v>
      </c>
      <c r="J904" s="43" t="s">
        <v>143</v>
      </c>
      <c r="K904" s="42" t="s">
        <v>144</v>
      </c>
      <c r="L904" s="42" t="s">
        <v>144</v>
      </c>
      <c r="M904" s="44" t="s">
        <v>1226</v>
      </c>
    </row>
    <row r="905" spans="1:13" ht="50" x14ac:dyDescent="0.35">
      <c r="A905" s="42">
        <v>976</v>
      </c>
      <c r="B905" s="42" t="s">
        <v>136</v>
      </c>
      <c r="C905" s="42" t="s">
        <v>199</v>
      </c>
      <c r="D905" s="42" t="s">
        <v>138</v>
      </c>
      <c r="E905" s="42" t="s">
        <v>160</v>
      </c>
      <c r="F905" s="42" t="s">
        <v>160</v>
      </c>
      <c r="G905" s="42" t="s">
        <v>141</v>
      </c>
      <c r="H905" s="42" t="s">
        <v>166</v>
      </c>
      <c r="I905" s="42">
        <v>3</v>
      </c>
      <c r="J905" s="43" t="s">
        <v>143</v>
      </c>
      <c r="K905" s="42" t="s">
        <v>50</v>
      </c>
      <c r="L905" s="42" t="s">
        <v>1227</v>
      </c>
      <c r="M905" s="44" t="s">
        <v>1228</v>
      </c>
    </row>
    <row r="906" spans="1:13" ht="37.5" x14ac:dyDescent="0.35">
      <c r="A906" s="42">
        <v>976</v>
      </c>
      <c r="B906" s="42" t="s">
        <v>136</v>
      </c>
      <c r="C906" s="42" t="s">
        <v>199</v>
      </c>
      <c r="D906" s="42" t="s">
        <v>138</v>
      </c>
      <c r="E906" s="42" t="s">
        <v>160</v>
      </c>
      <c r="F906" s="42" t="s">
        <v>160</v>
      </c>
      <c r="G906" s="42" t="s">
        <v>141</v>
      </c>
      <c r="H906" s="42" t="s">
        <v>180</v>
      </c>
      <c r="I906" s="42">
        <v>6</v>
      </c>
      <c r="J906" s="43" t="s">
        <v>143</v>
      </c>
      <c r="K906" s="42" t="s">
        <v>196</v>
      </c>
      <c r="L906" s="42" t="s">
        <v>517</v>
      </c>
      <c r="M906" s="44" t="s">
        <v>1229</v>
      </c>
    </row>
    <row r="907" spans="1:13" ht="37.5" x14ac:dyDescent="0.35">
      <c r="A907" s="42">
        <v>976</v>
      </c>
      <c r="B907" s="42" t="s">
        <v>136</v>
      </c>
      <c r="C907" s="42" t="s">
        <v>199</v>
      </c>
      <c r="D907" s="42" t="s">
        <v>138</v>
      </c>
      <c r="E907" s="42" t="s">
        <v>160</v>
      </c>
      <c r="F907" s="42" t="s">
        <v>160</v>
      </c>
      <c r="G907" s="42" t="s">
        <v>141</v>
      </c>
      <c r="H907" s="42" t="s">
        <v>183</v>
      </c>
      <c r="I907" s="42">
        <v>6</v>
      </c>
      <c r="J907" s="43" t="s">
        <v>143</v>
      </c>
      <c r="K907" s="42" t="s">
        <v>144</v>
      </c>
      <c r="L907" s="42" t="s">
        <v>144</v>
      </c>
      <c r="M907" s="44" t="s">
        <v>1230</v>
      </c>
    </row>
    <row r="908" spans="1:13" x14ac:dyDescent="0.35">
      <c r="A908" s="42">
        <v>976</v>
      </c>
      <c r="B908" s="42" t="s">
        <v>136</v>
      </c>
      <c r="C908" s="42" t="s">
        <v>199</v>
      </c>
      <c r="D908" s="42" t="s">
        <v>138</v>
      </c>
      <c r="E908" s="42" t="s">
        <v>160</v>
      </c>
      <c r="F908" s="42" t="s">
        <v>160</v>
      </c>
      <c r="G908" s="42" t="s">
        <v>141</v>
      </c>
      <c r="H908" s="42" t="s">
        <v>146</v>
      </c>
      <c r="I908" s="42">
        <v>4</v>
      </c>
      <c r="J908" s="43" t="s">
        <v>143</v>
      </c>
      <c r="K908" s="42" t="s">
        <v>80</v>
      </c>
      <c r="L908" s="42" t="s">
        <v>1231</v>
      </c>
      <c r="M908" s="44" t="s">
        <v>1232</v>
      </c>
    </row>
    <row r="909" spans="1:13" x14ac:dyDescent="0.35">
      <c r="A909" s="42">
        <v>976</v>
      </c>
      <c r="B909" s="42" t="s">
        <v>136</v>
      </c>
      <c r="C909" s="42" t="s">
        <v>199</v>
      </c>
      <c r="D909" s="42" t="s">
        <v>138</v>
      </c>
      <c r="E909" s="42" t="s">
        <v>160</v>
      </c>
      <c r="F909" s="42" t="s">
        <v>160</v>
      </c>
      <c r="G909" s="42" t="s">
        <v>141</v>
      </c>
      <c r="H909" s="42" t="s">
        <v>150</v>
      </c>
      <c r="I909" s="42"/>
      <c r="J909" s="45" t="s">
        <v>147</v>
      </c>
      <c r="K909" s="42" t="s">
        <v>76</v>
      </c>
      <c r="L909" s="42" t="s">
        <v>1233</v>
      </c>
      <c r="M909" s="44" t="s">
        <v>1234</v>
      </c>
    </row>
    <row r="910" spans="1:13" x14ac:dyDescent="0.35">
      <c r="A910" s="42">
        <v>976</v>
      </c>
      <c r="B910" s="42" t="s">
        <v>136</v>
      </c>
      <c r="C910" s="42" t="s">
        <v>199</v>
      </c>
      <c r="D910" s="42" t="s">
        <v>138</v>
      </c>
      <c r="E910" s="42" t="s">
        <v>160</v>
      </c>
      <c r="F910" s="42" t="s">
        <v>160</v>
      </c>
      <c r="G910" s="42" t="s">
        <v>141</v>
      </c>
      <c r="H910" s="42" t="s">
        <v>156</v>
      </c>
      <c r="I910" s="42"/>
      <c r="J910" s="43" t="s">
        <v>143</v>
      </c>
      <c r="K910" s="42" t="s">
        <v>76</v>
      </c>
      <c r="L910" s="42" t="s">
        <v>76</v>
      </c>
      <c r="M910" s="44" t="s">
        <v>1235</v>
      </c>
    </row>
    <row r="911" spans="1:13" x14ac:dyDescent="0.35">
      <c r="A911" s="42">
        <v>976</v>
      </c>
      <c r="B911" s="42" t="s">
        <v>136</v>
      </c>
      <c r="C911" s="42" t="s">
        <v>199</v>
      </c>
      <c r="D911" s="42" t="s">
        <v>138</v>
      </c>
      <c r="E911" s="42" t="s">
        <v>160</v>
      </c>
      <c r="F911" s="42" t="s">
        <v>160</v>
      </c>
      <c r="G911" s="42" t="s">
        <v>141</v>
      </c>
      <c r="H911" s="42" t="s">
        <v>156</v>
      </c>
      <c r="I911" s="42"/>
      <c r="J911" s="43" t="s">
        <v>143</v>
      </c>
      <c r="K911" s="42" t="s">
        <v>53</v>
      </c>
      <c r="L911" s="42" t="s">
        <v>1236</v>
      </c>
      <c r="M911" s="44" t="s">
        <v>1237</v>
      </c>
    </row>
    <row r="912" spans="1:13" x14ac:dyDescent="0.35">
      <c r="A912" s="42">
        <v>976</v>
      </c>
      <c r="B912" s="42" t="s">
        <v>136</v>
      </c>
      <c r="C912" s="42" t="s">
        <v>199</v>
      </c>
      <c r="D912" s="42" t="s">
        <v>138</v>
      </c>
      <c r="E912" s="42" t="s">
        <v>160</v>
      </c>
      <c r="F912" s="42" t="s">
        <v>160</v>
      </c>
      <c r="G912" s="42" t="s">
        <v>141</v>
      </c>
      <c r="H912" s="42" t="s">
        <v>156</v>
      </c>
      <c r="I912" s="42"/>
      <c r="J912" s="43" t="s">
        <v>143</v>
      </c>
      <c r="K912" s="42" t="s">
        <v>268</v>
      </c>
      <c r="L912" s="42" t="s">
        <v>303</v>
      </c>
      <c r="M912" s="44" t="s">
        <v>1238</v>
      </c>
    </row>
    <row r="913" spans="1:13" x14ac:dyDescent="0.35">
      <c r="A913" s="42">
        <v>1187</v>
      </c>
      <c r="B913" s="42" t="s">
        <v>175</v>
      </c>
      <c r="C913" s="42" t="s">
        <v>137</v>
      </c>
      <c r="D913" s="42" t="s">
        <v>159</v>
      </c>
      <c r="E913" s="42" t="s">
        <v>274</v>
      </c>
      <c r="F913" s="42" t="s">
        <v>140</v>
      </c>
      <c r="G913" s="42" t="s">
        <v>141</v>
      </c>
      <c r="H913" s="42" t="s">
        <v>166</v>
      </c>
      <c r="I913" s="42">
        <v>6</v>
      </c>
      <c r="J913" s="43" t="s">
        <v>143</v>
      </c>
      <c r="K913" s="42" t="s">
        <v>196</v>
      </c>
      <c r="L913" s="42" t="s">
        <v>196</v>
      </c>
      <c r="M913" s="44" t="s">
        <v>1239</v>
      </c>
    </row>
    <row r="914" spans="1:13" x14ac:dyDescent="0.35">
      <c r="A914" s="42">
        <v>1187</v>
      </c>
      <c r="B914" s="42" t="s">
        <v>175</v>
      </c>
      <c r="C914" s="42" t="s">
        <v>137</v>
      </c>
      <c r="D914" s="42" t="s">
        <v>159</v>
      </c>
      <c r="E914" s="42" t="s">
        <v>274</v>
      </c>
      <c r="F914" s="42" t="s">
        <v>140</v>
      </c>
      <c r="G914" s="42" t="s">
        <v>141</v>
      </c>
      <c r="H914" s="42" t="s">
        <v>180</v>
      </c>
      <c r="I914" s="42">
        <v>6</v>
      </c>
      <c r="J914" s="43" t="s">
        <v>143</v>
      </c>
      <c r="K914" s="42" t="s">
        <v>196</v>
      </c>
      <c r="L914" s="42" t="s">
        <v>196</v>
      </c>
      <c r="M914" s="44" t="s">
        <v>1240</v>
      </c>
    </row>
    <row r="915" spans="1:13" x14ac:dyDescent="0.35">
      <c r="A915" s="42">
        <v>1187</v>
      </c>
      <c r="B915" s="42" t="s">
        <v>175</v>
      </c>
      <c r="C915" s="42" t="s">
        <v>137</v>
      </c>
      <c r="D915" s="42" t="s">
        <v>159</v>
      </c>
      <c r="E915" s="42" t="s">
        <v>274</v>
      </c>
      <c r="F915" s="42" t="s">
        <v>140</v>
      </c>
      <c r="G915" s="42" t="s">
        <v>141</v>
      </c>
      <c r="H915" s="42" t="s">
        <v>183</v>
      </c>
      <c r="I915" s="42">
        <v>6</v>
      </c>
      <c r="J915" s="43" t="s">
        <v>143</v>
      </c>
      <c r="K915" s="42" t="s">
        <v>210</v>
      </c>
      <c r="L915" s="42" t="s">
        <v>210</v>
      </c>
      <c r="M915" s="44" t="s">
        <v>1241</v>
      </c>
    </row>
    <row r="916" spans="1:13" x14ac:dyDescent="0.35">
      <c r="A916" s="42">
        <v>1187</v>
      </c>
      <c r="B916" s="42" t="s">
        <v>175</v>
      </c>
      <c r="C916" s="42" t="s">
        <v>137</v>
      </c>
      <c r="D916" s="42" t="s">
        <v>159</v>
      </c>
      <c r="E916" s="42" t="s">
        <v>274</v>
      </c>
      <c r="F916" s="42" t="s">
        <v>140</v>
      </c>
      <c r="G916" s="42" t="s">
        <v>141</v>
      </c>
      <c r="H916" s="42" t="s">
        <v>146</v>
      </c>
      <c r="I916" s="42">
        <v>7</v>
      </c>
      <c r="J916" s="46" t="s">
        <v>222</v>
      </c>
      <c r="K916" s="42" t="s">
        <v>76</v>
      </c>
      <c r="L916" s="42" t="s">
        <v>705</v>
      </c>
      <c r="M916" s="44" t="s">
        <v>1242</v>
      </c>
    </row>
    <row r="917" spans="1:13" x14ac:dyDescent="0.35">
      <c r="A917" s="42">
        <v>1187</v>
      </c>
      <c r="B917" s="42" t="s">
        <v>175</v>
      </c>
      <c r="C917" s="42" t="s">
        <v>137</v>
      </c>
      <c r="D917" s="42" t="s">
        <v>159</v>
      </c>
      <c r="E917" s="42" t="s">
        <v>274</v>
      </c>
      <c r="F917" s="42" t="s">
        <v>140</v>
      </c>
      <c r="G917" s="42" t="s">
        <v>141</v>
      </c>
      <c r="H917" s="42" t="s">
        <v>150</v>
      </c>
      <c r="I917" s="42"/>
      <c r="J917" s="45" t="s">
        <v>147</v>
      </c>
      <c r="K917" s="42" t="s">
        <v>78</v>
      </c>
      <c r="L917" s="42" t="s">
        <v>78</v>
      </c>
      <c r="M917" s="44" t="s">
        <v>1243</v>
      </c>
    </row>
    <row r="918" spans="1:13" x14ac:dyDescent="0.35">
      <c r="A918" s="42">
        <v>1187</v>
      </c>
      <c r="B918" s="42" t="s">
        <v>175</v>
      </c>
      <c r="C918" s="42" t="s">
        <v>137</v>
      </c>
      <c r="D918" s="42" t="s">
        <v>159</v>
      </c>
      <c r="E918" s="42" t="s">
        <v>274</v>
      </c>
      <c r="F918" s="42" t="s">
        <v>140</v>
      </c>
      <c r="G918" s="42" t="s">
        <v>141</v>
      </c>
      <c r="H918" s="42" t="s">
        <v>150</v>
      </c>
      <c r="I918" s="42"/>
      <c r="J918" s="45" t="s">
        <v>147</v>
      </c>
      <c r="K918" s="42" t="s">
        <v>78</v>
      </c>
      <c r="L918" s="42" t="s">
        <v>78</v>
      </c>
      <c r="M918" s="44" t="s">
        <v>1244</v>
      </c>
    </row>
    <row r="919" spans="1:13" x14ac:dyDescent="0.35">
      <c r="A919" s="42">
        <v>1187</v>
      </c>
      <c r="B919" s="42" t="s">
        <v>175</v>
      </c>
      <c r="C919" s="42" t="s">
        <v>137</v>
      </c>
      <c r="D919" s="42" t="s">
        <v>159</v>
      </c>
      <c r="E919" s="42" t="s">
        <v>274</v>
      </c>
      <c r="F919" s="42" t="s">
        <v>140</v>
      </c>
      <c r="G919" s="42" t="s">
        <v>141</v>
      </c>
      <c r="H919" s="42" t="s">
        <v>150</v>
      </c>
      <c r="I919" s="42"/>
      <c r="J919" s="45" t="s">
        <v>147</v>
      </c>
      <c r="K919" s="42" t="s">
        <v>210</v>
      </c>
      <c r="L919" s="42" t="s">
        <v>210</v>
      </c>
      <c r="M919" s="44" t="s">
        <v>1245</v>
      </c>
    </row>
    <row r="920" spans="1:13" x14ac:dyDescent="0.35">
      <c r="A920" s="42">
        <v>1187</v>
      </c>
      <c r="B920" s="42" t="s">
        <v>175</v>
      </c>
      <c r="C920" s="42" t="s">
        <v>137</v>
      </c>
      <c r="D920" s="42" t="s">
        <v>159</v>
      </c>
      <c r="E920" s="42" t="s">
        <v>274</v>
      </c>
      <c r="F920" s="42" t="s">
        <v>140</v>
      </c>
      <c r="G920" s="42" t="s">
        <v>141</v>
      </c>
      <c r="H920" s="42" t="s">
        <v>156</v>
      </c>
      <c r="I920" s="42"/>
      <c r="J920" s="43" t="s">
        <v>143</v>
      </c>
      <c r="K920" s="42" t="s">
        <v>144</v>
      </c>
      <c r="L920" s="42" t="s">
        <v>144</v>
      </c>
      <c r="M920" s="44" t="s">
        <v>1246</v>
      </c>
    </row>
    <row r="921" spans="1:13" x14ac:dyDescent="0.35">
      <c r="A921" s="42">
        <v>1187</v>
      </c>
      <c r="B921" s="42" t="s">
        <v>175</v>
      </c>
      <c r="C921" s="42" t="s">
        <v>137</v>
      </c>
      <c r="D921" s="42" t="s">
        <v>159</v>
      </c>
      <c r="E921" s="42" t="s">
        <v>274</v>
      </c>
      <c r="F921" s="42" t="s">
        <v>140</v>
      </c>
      <c r="G921" s="42" t="s">
        <v>141</v>
      </c>
      <c r="H921" s="42" t="s">
        <v>156</v>
      </c>
      <c r="I921" s="42"/>
      <c r="J921" s="43" t="s">
        <v>143</v>
      </c>
      <c r="K921" s="42" t="s">
        <v>196</v>
      </c>
      <c r="L921" s="42" t="s">
        <v>196</v>
      </c>
      <c r="M921" s="44" t="s">
        <v>1247</v>
      </c>
    </row>
    <row r="922" spans="1:13" ht="25" x14ac:dyDescent="0.35">
      <c r="A922" s="42">
        <v>1191</v>
      </c>
      <c r="B922" s="42" t="s">
        <v>136</v>
      </c>
      <c r="C922" s="42" t="s">
        <v>137</v>
      </c>
      <c r="D922" s="42" t="s">
        <v>159</v>
      </c>
      <c r="E922" s="42" t="s">
        <v>206</v>
      </c>
      <c r="F922" s="42" t="s">
        <v>206</v>
      </c>
      <c r="G922" s="42" t="s">
        <v>141</v>
      </c>
      <c r="H922" s="42" t="s">
        <v>142</v>
      </c>
      <c r="I922" s="42">
        <v>4</v>
      </c>
      <c r="J922" s="43" t="s">
        <v>143</v>
      </c>
      <c r="K922" s="42" t="s">
        <v>262</v>
      </c>
      <c r="L922" s="42" t="s">
        <v>1248</v>
      </c>
      <c r="M922" s="44" t="s">
        <v>1249</v>
      </c>
    </row>
    <row r="923" spans="1:13" ht="25" x14ac:dyDescent="0.35">
      <c r="A923" s="42">
        <v>1191</v>
      </c>
      <c r="B923" s="42" t="s">
        <v>136</v>
      </c>
      <c r="C923" s="42" t="s">
        <v>137</v>
      </c>
      <c r="D923" s="42" t="s">
        <v>159</v>
      </c>
      <c r="E923" s="42" t="s">
        <v>206</v>
      </c>
      <c r="F923" s="42" t="s">
        <v>206</v>
      </c>
      <c r="G923" s="42" t="s">
        <v>141</v>
      </c>
      <c r="H923" s="42" t="s">
        <v>163</v>
      </c>
      <c r="I923" s="42"/>
      <c r="J923" s="43" t="s">
        <v>143</v>
      </c>
      <c r="K923" s="42" t="s">
        <v>144</v>
      </c>
      <c r="L923" s="42" t="s">
        <v>144</v>
      </c>
      <c r="M923" s="44" t="s">
        <v>1250</v>
      </c>
    </row>
    <row r="924" spans="1:13" ht="37.5" x14ac:dyDescent="0.35">
      <c r="A924" s="42">
        <v>1191</v>
      </c>
      <c r="B924" s="42" t="s">
        <v>136</v>
      </c>
      <c r="C924" s="42" t="s">
        <v>137</v>
      </c>
      <c r="D924" s="42" t="s">
        <v>159</v>
      </c>
      <c r="E924" s="42" t="s">
        <v>206</v>
      </c>
      <c r="F924" s="42" t="s">
        <v>206</v>
      </c>
      <c r="G924" s="42" t="s">
        <v>141</v>
      </c>
      <c r="H924" s="42" t="s">
        <v>166</v>
      </c>
      <c r="I924" s="42">
        <v>1</v>
      </c>
      <c r="J924" s="43" t="s">
        <v>143</v>
      </c>
      <c r="K924" s="42" t="s">
        <v>196</v>
      </c>
      <c r="L924" s="42" t="s">
        <v>285</v>
      </c>
      <c r="M924" s="44" t="s">
        <v>1251</v>
      </c>
    </row>
    <row r="925" spans="1:13" ht="25" x14ac:dyDescent="0.35">
      <c r="A925" s="42">
        <v>1191</v>
      </c>
      <c r="B925" s="42" t="s">
        <v>136</v>
      </c>
      <c r="C925" s="42" t="s">
        <v>137</v>
      </c>
      <c r="D925" s="42" t="s">
        <v>159</v>
      </c>
      <c r="E925" s="42" t="s">
        <v>206</v>
      </c>
      <c r="F925" s="42" t="s">
        <v>206</v>
      </c>
      <c r="G925" s="42" t="s">
        <v>141</v>
      </c>
      <c r="H925" s="42" t="s">
        <v>180</v>
      </c>
      <c r="I925" s="42">
        <v>3</v>
      </c>
      <c r="J925" s="43" t="s">
        <v>143</v>
      </c>
      <c r="K925" s="42" t="s">
        <v>196</v>
      </c>
      <c r="L925" s="42" t="s">
        <v>1252</v>
      </c>
      <c r="M925" s="44" t="s">
        <v>1253</v>
      </c>
    </row>
    <row r="926" spans="1:13" x14ac:dyDescent="0.35">
      <c r="A926" s="42">
        <v>1191</v>
      </c>
      <c r="B926" s="42" t="s">
        <v>136</v>
      </c>
      <c r="C926" s="42" t="s">
        <v>137</v>
      </c>
      <c r="D926" s="42" t="s">
        <v>159</v>
      </c>
      <c r="E926" s="42" t="s">
        <v>206</v>
      </c>
      <c r="F926" s="42" t="s">
        <v>206</v>
      </c>
      <c r="G926" s="42" t="s">
        <v>141</v>
      </c>
      <c r="H926" s="42" t="s">
        <v>183</v>
      </c>
      <c r="I926" s="42">
        <v>5</v>
      </c>
      <c r="J926" s="43" t="s">
        <v>143</v>
      </c>
      <c r="K926" s="42" t="s">
        <v>184</v>
      </c>
      <c r="L926" s="42" t="s">
        <v>308</v>
      </c>
      <c r="M926" s="44" t="s">
        <v>1254</v>
      </c>
    </row>
    <row r="927" spans="1:13" x14ac:dyDescent="0.35">
      <c r="A927" s="42">
        <v>1191</v>
      </c>
      <c r="B927" s="42" t="s">
        <v>136</v>
      </c>
      <c r="C927" s="42" t="s">
        <v>137</v>
      </c>
      <c r="D927" s="42" t="s">
        <v>159</v>
      </c>
      <c r="E927" s="42" t="s">
        <v>206</v>
      </c>
      <c r="F927" s="42" t="s">
        <v>206</v>
      </c>
      <c r="G927" s="42" t="s">
        <v>141</v>
      </c>
      <c r="H927" s="42" t="s">
        <v>146</v>
      </c>
      <c r="I927" s="42">
        <v>1</v>
      </c>
      <c r="J927" s="43" t="s">
        <v>143</v>
      </c>
      <c r="K927" s="42" t="s">
        <v>190</v>
      </c>
      <c r="L927" s="42" t="s">
        <v>190</v>
      </c>
      <c r="M927" s="44" t="s">
        <v>1255</v>
      </c>
    </row>
    <row r="928" spans="1:13" x14ac:dyDescent="0.35">
      <c r="A928" s="42">
        <v>1191</v>
      </c>
      <c r="B928" s="42" t="s">
        <v>136</v>
      </c>
      <c r="C928" s="42" t="s">
        <v>137</v>
      </c>
      <c r="D928" s="42" t="s">
        <v>159</v>
      </c>
      <c r="E928" s="42" t="s">
        <v>206</v>
      </c>
      <c r="F928" s="42" t="s">
        <v>206</v>
      </c>
      <c r="G928" s="42" t="s">
        <v>141</v>
      </c>
      <c r="H928" s="42" t="s">
        <v>150</v>
      </c>
      <c r="I928" s="42"/>
      <c r="J928" s="45" t="s">
        <v>147</v>
      </c>
      <c r="K928" s="42" t="s">
        <v>78</v>
      </c>
      <c r="L928" s="42" t="s">
        <v>151</v>
      </c>
      <c r="M928" s="44" t="s">
        <v>1256</v>
      </c>
    </row>
    <row r="929" spans="1:13" x14ac:dyDescent="0.35">
      <c r="A929" s="42">
        <v>1191</v>
      </c>
      <c r="B929" s="42" t="s">
        <v>136</v>
      </c>
      <c r="C929" s="42" t="s">
        <v>137</v>
      </c>
      <c r="D929" s="42" t="s">
        <v>159</v>
      </c>
      <c r="E929" s="42" t="s">
        <v>206</v>
      </c>
      <c r="F929" s="42" t="s">
        <v>206</v>
      </c>
      <c r="G929" s="42" t="s">
        <v>141</v>
      </c>
      <c r="H929" s="42" t="s">
        <v>156</v>
      </c>
      <c r="I929" s="42"/>
      <c r="J929" s="43" t="s">
        <v>143</v>
      </c>
      <c r="K929" s="42" t="s">
        <v>84</v>
      </c>
      <c r="L929" s="42" t="s">
        <v>84</v>
      </c>
      <c r="M929" s="44" t="s">
        <v>1257</v>
      </c>
    </row>
    <row r="930" spans="1:13" x14ac:dyDescent="0.35">
      <c r="A930" s="42">
        <v>1191</v>
      </c>
      <c r="B930" s="42" t="s">
        <v>136</v>
      </c>
      <c r="C930" s="42" t="s">
        <v>137</v>
      </c>
      <c r="D930" s="42" t="s">
        <v>159</v>
      </c>
      <c r="E930" s="42" t="s">
        <v>206</v>
      </c>
      <c r="F930" s="42" t="s">
        <v>206</v>
      </c>
      <c r="G930" s="42" t="s">
        <v>141</v>
      </c>
      <c r="H930" s="42" t="s">
        <v>156</v>
      </c>
      <c r="I930" s="42"/>
      <c r="J930" s="43" t="s">
        <v>143</v>
      </c>
      <c r="K930" s="42" t="s">
        <v>196</v>
      </c>
      <c r="L930" s="42" t="s">
        <v>196</v>
      </c>
      <c r="M930" s="44" t="s">
        <v>1258</v>
      </c>
    </row>
    <row r="931" spans="1:13" x14ac:dyDescent="0.35">
      <c r="A931" s="42">
        <v>1195</v>
      </c>
      <c r="B931" s="42" t="s">
        <v>136</v>
      </c>
      <c r="C931" s="42" t="s">
        <v>199</v>
      </c>
      <c r="D931" s="42" t="s">
        <v>159</v>
      </c>
      <c r="E931" s="42" t="s">
        <v>206</v>
      </c>
      <c r="F931" s="42" t="s">
        <v>206</v>
      </c>
      <c r="G931" s="42" t="s">
        <v>141</v>
      </c>
      <c r="H931" s="42" t="s">
        <v>166</v>
      </c>
      <c r="I931" s="42">
        <v>5</v>
      </c>
      <c r="J931" s="43" t="s">
        <v>143</v>
      </c>
      <c r="K931" s="42" t="s">
        <v>196</v>
      </c>
      <c r="L931" s="42" t="s">
        <v>614</v>
      </c>
      <c r="M931" s="44" t="s">
        <v>1259</v>
      </c>
    </row>
    <row r="932" spans="1:13" ht="25" x14ac:dyDescent="0.35">
      <c r="A932" s="42">
        <v>1195</v>
      </c>
      <c r="B932" s="42" t="s">
        <v>136</v>
      </c>
      <c r="C932" s="42" t="s">
        <v>199</v>
      </c>
      <c r="D932" s="42" t="s">
        <v>159</v>
      </c>
      <c r="E932" s="42" t="s">
        <v>206</v>
      </c>
      <c r="F932" s="42" t="s">
        <v>206</v>
      </c>
      <c r="G932" s="42" t="s">
        <v>141</v>
      </c>
      <c r="H932" s="42" t="s">
        <v>146</v>
      </c>
      <c r="I932" s="42">
        <v>10</v>
      </c>
      <c r="J932" s="45" t="s">
        <v>147</v>
      </c>
      <c r="K932" s="42" t="s">
        <v>82</v>
      </c>
      <c r="L932" s="42" t="s">
        <v>254</v>
      </c>
      <c r="M932" s="44" t="s">
        <v>1260</v>
      </c>
    </row>
    <row r="933" spans="1:13" x14ac:dyDescent="0.35">
      <c r="A933" s="42">
        <v>1195</v>
      </c>
      <c r="B933" s="42" t="s">
        <v>136</v>
      </c>
      <c r="C933" s="42" t="s">
        <v>199</v>
      </c>
      <c r="D933" s="42" t="s">
        <v>159</v>
      </c>
      <c r="E933" s="42" t="s">
        <v>206</v>
      </c>
      <c r="F933" s="42" t="s">
        <v>206</v>
      </c>
      <c r="G933" s="42" t="s">
        <v>141</v>
      </c>
      <c r="H933" s="42" t="s">
        <v>150</v>
      </c>
      <c r="I933" s="42"/>
      <c r="J933" s="45" t="s">
        <v>147</v>
      </c>
      <c r="K933" s="42" t="s">
        <v>190</v>
      </c>
      <c r="L933" s="42" t="s">
        <v>190</v>
      </c>
      <c r="M933" s="44" t="s">
        <v>1261</v>
      </c>
    </row>
    <row r="934" spans="1:13" x14ac:dyDescent="0.35">
      <c r="A934" s="42">
        <v>1195</v>
      </c>
      <c r="B934" s="42" t="s">
        <v>136</v>
      </c>
      <c r="C934" s="42" t="s">
        <v>199</v>
      </c>
      <c r="D934" s="42" t="s">
        <v>159</v>
      </c>
      <c r="E934" s="42" t="s">
        <v>206</v>
      </c>
      <c r="F934" s="42" t="s">
        <v>206</v>
      </c>
      <c r="G934" s="42" t="s">
        <v>141</v>
      </c>
      <c r="H934" s="42" t="s">
        <v>150</v>
      </c>
      <c r="I934" s="42"/>
      <c r="J934" s="45" t="s">
        <v>147</v>
      </c>
      <c r="K934" s="42" t="s">
        <v>144</v>
      </c>
      <c r="L934" s="42" t="s">
        <v>144</v>
      </c>
      <c r="M934" s="44" t="s">
        <v>273</v>
      </c>
    </row>
    <row r="935" spans="1:13" x14ac:dyDescent="0.35">
      <c r="A935" s="42">
        <v>1195</v>
      </c>
      <c r="B935" s="42" t="s">
        <v>136</v>
      </c>
      <c r="C935" s="42" t="s">
        <v>199</v>
      </c>
      <c r="D935" s="42" t="s">
        <v>159</v>
      </c>
      <c r="E935" s="42" t="s">
        <v>206</v>
      </c>
      <c r="F935" s="42" t="s">
        <v>206</v>
      </c>
      <c r="G935" s="42" t="s">
        <v>141</v>
      </c>
      <c r="H935" s="42" t="s">
        <v>150</v>
      </c>
      <c r="I935" s="42"/>
      <c r="J935" s="45" t="s">
        <v>147</v>
      </c>
      <c r="K935" s="42" t="s">
        <v>190</v>
      </c>
      <c r="L935" s="42" t="s">
        <v>190</v>
      </c>
      <c r="M935" s="44" t="s">
        <v>1262</v>
      </c>
    </row>
    <row r="936" spans="1:13" x14ac:dyDescent="0.35">
      <c r="A936" s="42">
        <v>1195</v>
      </c>
      <c r="B936" s="42" t="s">
        <v>136</v>
      </c>
      <c r="C936" s="42" t="s">
        <v>199</v>
      </c>
      <c r="D936" s="42" t="s">
        <v>159</v>
      </c>
      <c r="E936" s="42" t="s">
        <v>206</v>
      </c>
      <c r="F936" s="42" t="s">
        <v>206</v>
      </c>
      <c r="G936" s="42" t="s">
        <v>141</v>
      </c>
      <c r="H936" s="42" t="s">
        <v>156</v>
      </c>
      <c r="I936" s="42"/>
      <c r="J936" s="43" t="s">
        <v>143</v>
      </c>
      <c r="K936" s="42" t="s">
        <v>50</v>
      </c>
      <c r="L936" s="42" t="s">
        <v>1263</v>
      </c>
      <c r="M936" s="44" t="s">
        <v>1264</v>
      </c>
    </row>
    <row r="937" spans="1:13" x14ac:dyDescent="0.35">
      <c r="A937" s="42">
        <v>1201</v>
      </c>
      <c r="B937" s="42" t="s">
        <v>136</v>
      </c>
      <c r="C937" s="42" t="s">
        <v>137</v>
      </c>
      <c r="D937" s="42" t="s">
        <v>159</v>
      </c>
      <c r="E937" s="42" t="s">
        <v>139</v>
      </c>
      <c r="F937" s="42" t="s">
        <v>140</v>
      </c>
      <c r="G937" s="42" t="s">
        <v>141</v>
      </c>
      <c r="H937" s="42" t="s">
        <v>177</v>
      </c>
      <c r="I937" s="42">
        <v>5</v>
      </c>
      <c r="J937" s="43" t="s">
        <v>143</v>
      </c>
      <c r="K937" s="42" t="s">
        <v>196</v>
      </c>
      <c r="L937" s="42" t="s">
        <v>196</v>
      </c>
      <c r="M937" s="44" t="s">
        <v>1265</v>
      </c>
    </row>
    <row r="938" spans="1:13" x14ac:dyDescent="0.35">
      <c r="A938" s="42">
        <v>1201</v>
      </c>
      <c r="B938" s="42" t="s">
        <v>136</v>
      </c>
      <c r="C938" s="42" t="s">
        <v>137</v>
      </c>
      <c r="D938" s="42" t="s">
        <v>159</v>
      </c>
      <c r="E938" s="42" t="s">
        <v>139</v>
      </c>
      <c r="F938" s="42" t="s">
        <v>140</v>
      </c>
      <c r="G938" s="42" t="s">
        <v>141</v>
      </c>
      <c r="H938" s="42" t="s">
        <v>166</v>
      </c>
      <c r="I938" s="42">
        <v>2</v>
      </c>
      <c r="J938" s="43" t="s">
        <v>143</v>
      </c>
      <c r="K938" s="42" t="s">
        <v>196</v>
      </c>
      <c r="L938" s="42" t="s">
        <v>196</v>
      </c>
      <c r="M938" s="44" t="s">
        <v>1266</v>
      </c>
    </row>
    <row r="939" spans="1:13" x14ac:dyDescent="0.35">
      <c r="A939" s="42">
        <v>1201</v>
      </c>
      <c r="B939" s="42" t="s">
        <v>136</v>
      </c>
      <c r="C939" s="42" t="s">
        <v>137</v>
      </c>
      <c r="D939" s="42" t="s">
        <v>159</v>
      </c>
      <c r="E939" s="42" t="s">
        <v>139</v>
      </c>
      <c r="F939" s="42" t="s">
        <v>140</v>
      </c>
      <c r="G939" s="42" t="s">
        <v>141</v>
      </c>
      <c r="H939" s="42" t="s">
        <v>180</v>
      </c>
      <c r="I939" s="42">
        <v>3</v>
      </c>
      <c r="J939" s="43" t="s">
        <v>143</v>
      </c>
      <c r="K939" s="42" t="s">
        <v>196</v>
      </c>
      <c r="L939" s="42" t="s">
        <v>217</v>
      </c>
      <c r="M939" s="44" t="s">
        <v>1267</v>
      </c>
    </row>
    <row r="940" spans="1:13" x14ac:dyDescent="0.35">
      <c r="A940" s="42">
        <v>1201</v>
      </c>
      <c r="B940" s="42" t="s">
        <v>136</v>
      </c>
      <c r="C940" s="42" t="s">
        <v>137</v>
      </c>
      <c r="D940" s="42" t="s">
        <v>159</v>
      </c>
      <c r="E940" s="42" t="s">
        <v>139</v>
      </c>
      <c r="F940" s="42" t="s">
        <v>140</v>
      </c>
      <c r="G940" s="42" t="s">
        <v>141</v>
      </c>
      <c r="H940" s="42" t="s">
        <v>146</v>
      </c>
      <c r="I940" s="42">
        <v>1</v>
      </c>
      <c r="J940" s="43" t="s">
        <v>143</v>
      </c>
      <c r="K940" s="42" t="s">
        <v>196</v>
      </c>
      <c r="L940" s="42" t="s">
        <v>196</v>
      </c>
      <c r="M940" s="44" t="s">
        <v>1268</v>
      </c>
    </row>
    <row r="941" spans="1:13" x14ac:dyDescent="0.35">
      <c r="A941" s="42">
        <v>1201</v>
      </c>
      <c r="B941" s="42" t="s">
        <v>136</v>
      </c>
      <c r="C941" s="42" t="s">
        <v>137</v>
      </c>
      <c r="D941" s="42" t="s">
        <v>159</v>
      </c>
      <c r="E941" s="42" t="s">
        <v>139</v>
      </c>
      <c r="F941" s="42" t="s">
        <v>140</v>
      </c>
      <c r="G941" s="42" t="s">
        <v>141</v>
      </c>
      <c r="H941" s="42" t="s">
        <v>150</v>
      </c>
      <c r="I941" s="42"/>
      <c r="J941" s="45" t="s">
        <v>147</v>
      </c>
      <c r="K941" s="42" t="s">
        <v>144</v>
      </c>
      <c r="L941" s="42" t="s">
        <v>144</v>
      </c>
      <c r="M941" s="44" t="s">
        <v>1269</v>
      </c>
    </row>
    <row r="942" spans="1:13" x14ac:dyDescent="0.35">
      <c r="A942" s="42">
        <v>1201</v>
      </c>
      <c r="B942" s="42" t="s">
        <v>136</v>
      </c>
      <c r="C942" s="42" t="s">
        <v>137</v>
      </c>
      <c r="D942" s="42" t="s">
        <v>159</v>
      </c>
      <c r="E942" s="42" t="s">
        <v>139</v>
      </c>
      <c r="F942" s="42" t="s">
        <v>140</v>
      </c>
      <c r="G942" s="42" t="s">
        <v>141</v>
      </c>
      <c r="H942" s="42" t="s">
        <v>156</v>
      </c>
      <c r="I942" s="42"/>
      <c r="J942" s="43" t="s">
        <v>143</v>
      </c>
      <c r="K942" s="42" t="s">
        <v>190</v>
      </c>
      <c r="L942" s="42" t="s">
        <v>190</v>
      </c>
      <c r="M942" s="44" t="s">
        <v>1270</v>
      </c>
    </row>
    <row r="943" spans="1:13" x14ac:dyDescent="0.35">
      <c r="A943" s="42">
        <v>1201</v>
      </c>
      <c r="B943" s="42" t="s">
        <v>136</v>
      </c>
      <c r="C943" s="42" t="s">
        <v>137</v>
      </c>
      <c r="D943" s="42" t="s">
        <v>159</v>
      </c>
      <c r="E943" s="42" t="s">
        <v>139</v>
      </c>
      <c r="F943" s="42" t="s">
        <v>140</v>
      </c>
      <c r="G943" s="42" t="s">
        <v>141</v>
      </c>
      <c r="H943" s="42" t="s">
        <v>156</v>
      </c>
      <c r="I943" s="42"/>
      <c r="J943" s="43" t="s">
        <v>143</v>
      </c>
      <c r="K943" s="42" t="s">
        <v>268</v>
      </c>
      <c r="L943" s="42" t="s">
        <v>268</v>
      </c>
      <c r="M943" s="44" t="s">
        <v>353</v>
      </c>
    </row>
    <row r="944" spans="1:13" x14ac:dyDescent="0.35">
      <c r="A944" s="42">
        <v>1201</v>
      </c>
      <c r="B944" s="42" t="s">
        <v>136</v>
      </c>
      <c r="C944" s="42" t="s">
        <v>137</v>
      </c>
      <c r="D944" s="42" t="s">
        <v>159</v>
      </c>
      <c r="E944" s="42" t="s">
        <v>139</v>
      </c>
      <c r="F944" s="42" t="s">
        <v>140</v>
      </c>
      <c r="G944" s="42" t="s">
        <v>141</v>
      </c>
      <c r="H944" s="42" t="s">
        <v>156</v>
      </c>
      <c r="I944" s="42"/>
      <c r="J944" s="43" t="s">
        <v>143</v>
      </c>
      <c r="K944" s="42" t="s">
        <v>262</v>
      </c>
      <c r="L944" s="42" t="s">
        <v>262</v>
      </c>
      <c r="M944" s="44" t="s">
        <v>1271</v>
      </c>
    </row>
    <row r="945" spans="1:13" ht="25" x14ac:dyDescent="0.35">
      <c r="A945" s="42">
        <v>1068</v>
      </c>
      <c r="B945" s="42" t="s">
        <v>136</v>
      </c>
      <c r="C945" s="42" t="s">
        <v>137</v>
      </c>
      <c r="D945" s="42" t="s">
        <v>138</v>
      </c>
      <c r="E945" s="42" t="s">
        <v>160</v>
      </c>
      <c r="F945" s="42" t="s">
        <v>160</v>
      </c>
      <c r="G945" s="42" t="s">
        <v>141</v>
      </c>
      <c r="H945" s="42" t="s">
        <v>142</v>
      </c>
      <c r="I945" s="42">
        <v>6</v>
      </c>
      <c r="J945" s="43" t="s">
        <v>143</v>
      </c>
      <c r="K945" s="42" t="s">
        <v>144</v>
      </c>
      <c r="L945" s="42" t="s">
        <v>144</v>
      </c>
      <c r="M945" s="44" t="s">
        <v>1272</v>
      </c>
    </row>
    <row r="946" spans="1:13" x14ac:dyDescent="0.35">
      <c r="A946" s="42">
        <v>1068</v>
      </c>
      <c r="B946" s="42" t="s">
        <v>136</v>
      </c>
      <c r="C946" s="42" t="s">
        <v>137</v>
      </c>
      <c r="D946" s="42" t="s">
        <v>138</v>
      </c>
      <c r="E946" s="42" t="s">
        <v>160</v>
      </c>
      <c r="F946" s="42" t="s">
        <v>160</v>
      </c>
      <c r="G946" s="42" t="s">
        <v>141</v>
      </c>
      <c r="H946" s="42" t="s">
        <v>183</v>
      </c>
      <c r="I946" s="42">
        <v>6</v>
      </c>
      <c r="J946" s="43" t="s">
        <v>143</v>
      </c>
      <c r="K946" s="42" t="s">
        <v>210</v>
      </c>
      <c r="L946" s="42" t="s">
        <v>210</v>
      </c>
      <c r="M946" s="44" t="s">
        <v>1273</v>
      </c>
    </row>
    <row r="947" spans="1:13" x14ac:dyDescent="0.35">
      <c r="A947" s="42">
        <v>1068</v>
      </c>
      <c r="B947" s="42" t="s">
        <v>136</v>
      </c>
      <c r="C947" s="42" t="s">
        <v>137</v>
      </c>
      <c r="D947" s="42" t="s">
        <v>138</v>
      </c>
      <c r="E947" s="42" t="s">
        <v>160</v>
      </c>
      <c r="F947" s="42" t="s">
        <v>160</v>
      </c>
      <c r="G947" s="42" t="s">
        <v>141</v>
      </c>
      <c r="H947" s="42" t="s">
        <v>146</v>
      </c>
      <c r="I947" s="42">
        <v>4</v>
      </c>
      <c r="J947" s="43" t="s">
        <v>143</v>
      </c>
      <c r="K947" s="42" t="s">
        <v>210</v>
      </c>
      <c r="L947" s="42" t="s">
        <v>210</v>
      </c>
      <c r="M947" s="44" t="s">
        <v>1274</v>
      </c>
    </row>
    <row r="948" spans="1:13" x14ac:dyDescent="0.35">
      <c r="A948" s="42">
        <v>1068</v>
      </c>
      <c r="B948" s="42" t="s">
        <v>136</v>
      </c>
      <c r="C948" s="42" t="s">
        <v>137</v>
      </c>
      <c r="D948" s="42" t="s">
        <v>138</v>
      </c>
      <c r="E948" s="42" t="s">
        <v>160</v>
      </c>
      <c r="F948" s="42" t="s">
        <v>160</v>
      </c>
      <c r="G948" s="42" t="s">
        <v>141</v>
      </c>
      <c r="H948" s="42" t="s">
        <v>150</v>
      </c>
      <c r="I948" s="42"/>
      <c r="J948" s="45" t="s">
        <v>147</v>
      </c>
      <c r="K948" s="42" t="s">
        <v>50</v>
      </c>
      <c r="L948" s="42" t="s">
        <v>1275</v>
      </c>
      <c r="M948" s="44" t="s">
        <v>1276</v>
      </c>
    </row>
    <row r="949" spans="1:13" x14ac:dyDescent="0.35">
      <c r="A949" s="42">
        <v>1068</v>
      </c>
      <c r="B949" s="42" t="s">
        <v>136</v>
      </c>
      <c r="C949" s="42" t="s">
        <v>137</v>
      </c>
      <c r="D949" s="42" t="s">
        <v>138</v>
      </c>
      <c r="E949" s="42" t="s">
        <v>160</v>
      </c>
      <c r="F949" s="42" t="s">
        <v>160</v>
      </c>
      <c r="G949" s="42" t="s">
        <v>141</v>
      </c>
      <c r="H949" s="42" t="s">
        <v>156</v>
      </c>
      <c r="I949" s="42"/>
      <c r="J949" s="43" t="s">
        <v>143</v>
      </c>
      <c r="K949" s="42" t="s">
        <v>190</v>
      </c>
      <c r="L949" s="42" t="s">
        <v>190</v>
      </c>
      <c r="M949" s="44" t="s">
        <v>1277</v>
      </c>
    </row>
    <row r="950" spans="1:13" ht="25" x14ac:dyDescent="0.35">
      <c r="A950" s="42">
        <v>1068</v>
      </c>
      <c r="B950" s="42" t="s">
        <v>136</v>
      </c>
      <c r="C950" s="42" t="s">
        <v>137</v>
      </c>
      <c r="D950" s="42" t="s">
        <v>138</v>
      </c>
      <c r="E950" s="42" t="s">
        <v>160</v>
      </c>
      <c r="F950" s="42" t="s">
        <v>160</v>
      </c>
      <c r="G950" s="42" t="s">
        <v>141</v>
      </c>
      <c r="H950" s="42" t="s">
        <v>156</v>
      </c>
      <c r="I950" s="42"/>
      <c r="J950" s="43" t="s">
        <v>143</v>
      </c>
      <c r="K950" s="42" t="s">
        <v>144</v>
      </c>
      <c r="L950" s="42" t="s">
        <v>144</v>
      </c>
      <c r="M950" s="44" t="s">
        <v>1278</v>
      </c>
    </row>
    <row r="951" spans="1:13" ht="25" x14ac:dyDescent="0.35">
      <c r="A951" s="42">
        <v>1068</v>
      </c>
      <c r="B951" s="42" t="s">
        <v>136</v>
      </c>
      <c r="C951" s="42" t="s">
        <v>137</v>
      </c>
      <c r="D951" s="42" t="s">
        <v>138</v>
      </c>
      <c r="E951" s="42" t="s">
        <v>160</v>
      </c>
      <c r="F951" s="42" t="s">
        <v>160</v>
      </c>
      <c r="G951" s="42" t="s">
        <v>141</v>
      </c>
      <c r="H951" s="42" t="s">
        <v>156</v>
      </c>
      <c r="I951" s="42"/>
      <c r="J951" s="43" t="s">
        <v>143</v>
      </c>
      <c r="K951" s="42" t="s">
        <v>262</v>
      </c>
      <c r="L951" s="42" t="s">
        <v>1279</v>
      </c>
      <c r="M951" s="44" t="s">
        <v>1280</v>
      </c>
    </row>
    <row r="952" spans="1:13" ht="37.5" x14ac:dyDescent="0.35">
      <c r="A952" s="42">
        <v>1205</v>
      </c>
      <c r="B952" s="42" t="s">
        <v>136</v>
      </c>
      <c r="C952" s="42" t="s">
        <v>199</v>
      </c>
      <c r="D952" s="42" t="s">
        <v>159</v>
      </c>
      <c r="E952" s="42" t="s">
        <v>206</v>
      </c>
      <c r="F952" s="42" t="s">
        <v>206</v>
      </c>
      <c r="G952" s="42" t="s">
        <v>141</v>
      </c>
      <c r="H952" s="42" t="s">
        <v>142</v>
      </c>
      <c r="I952" s="42">
        <v>4</v>
      </c>
      <c r="J952" s="43" t="s">
        <v>143</v>
      </c>
      <c r="K952" s="42" t="s">
        <v>184</v>
      </c>
      <c r="L952" s="42" t="s">
        <v>1281</v>
      </c>
      <c r="M952" s="44" t="s">
        <v>1282</v>
      </c>
    </row>
    <row r="953" spans="1:13" ht="37.5" x14ac:dyDescent="0.35">
      <c r="A953" s="42">
        <v>1205</v>
      </c>
      <c r="B953" s="42" t="s">
        <v>136</v>
      </c>
      <c r="C953" s="42" t="s">
        <v>199</v>
      </c>
      <c r="D953" s="42" t="s">
        <v>159</v>
      </c>
      <c r="E953" s="42" t="s">
        <v>206</v>
      </c>
      <c r="F953" s="42" t="s">
        <v>206</v>
      </c>
      <c r="G953" s="42" t="s">
        <v>141</v>
      </c>
      <c r="H953" s="42" t="s">
        <v>163</v>
      </c>
      <c r="I953" s="42"/>
      <c r="J953" s="43" t="s">
        <v>143</v>
      </c>
      <c r="K953" s="42" t="s">
        <v>144</v>
      </c>
      <c r="L953" s="42" t="s">
        <v>548</v>
      </c>
      <c r="M953" s="44" t="s">
        <v>1283</v>
      </c>
    </row>
    <row r="954" spans="1:13" x14ac:dyDescent="0.35">
      <c r="A954" s="42">
        <v>1205</v>
      </c>
      <c r="B954" s="42" t="s">
        <v>136</v>
      </c>
      <c r="C954" s="42" t="s">
        <v>199</v>
      </c>
      <c r="D954" s="42" t="s">
        <v>159</v>
      </c>
      <c r="E954" s="42" t="s">
        <v>206</v>
      </c>
      <c r="F954" s="42" t="s">
        <v>206</v>
      </c>
      <c r="G954" s="42" t="s">
        <v>141</v>
      </c>
      <c r="H954" s="42" t="s">
        <v>183</v>
      </c>
      <c r="I954" s="42">
        <v>6</v>
      </c>
      <c r="J954" s="43" t="s">
        <v>143</v>
      </c>
      <c r="K954" s="42" t="s">
        <v>184</v>
      </c>
      <c r="L954" s="42" t="s">
        <v>208</v>
      </c>
      <c r="M954" s="44" t="s">
        <v>1284</v>
      </c>
    </row>
    <row r="955" spans="1:13" ht="25" x14ac:dyDescent="0.35">
      <c r="A955" s="42">
        <v>1205</v>
      </c>
      <c r="B955" s="42" t="s">
        <v>136</v>
      </c>
      <c r="C955" s="42" t="s">
        <v>199</v>
      </c>
      <c r="D955" s="42" t="s">
        <v>159</v>
      </c>
      <c r="E955" s="42" t="s">
        <v>206</v>
      </c>
      <c r="F955" s="42" t="s">
        <v>206</v>
      </c>
      <c r="G955" s="42" t="s">
        <v>141</v>
      </c>
      <c r="H955" s="42" t="s">
        <v>146</v>
      </c>
      <c r="I955" s="42">
        <v>5</v>
      </c>
      <c r="J955" s="43" t="s">
        <v>143</v>
      </c>
      <c r="K955" s="42" t="s">
        <v>144</v>
      </c>
      <c r="L955" s="42" t="s">
        <v>144</v>
      </c>
      <c r="M955" s="44" t="s">
        <v>1285</v>
      </c>
    </row>
    <row r="956" spans="1:13" x14ac:dyDescent="0.35">
      <c r="A956" s="42">
        <v>1205</v>
      </c>
      <c r="B956" s="42" t="s">
        <v>136</v>
      </c>
      <c r="C956" s="42" t="s">
        <v>199</v>
      </c>
      <c r="D956" s="42" t="s">
        <v>159</v>
      </c>
      <c r="E956" s="42" t="s">
        <v>206</v>
      </c>
      <c r="F956" s="42" t="s">
        <v>206</v>
      </c>
      <c r="G956" s="42" t="s">
        <v>141</v>
      </c>
      <c r="H956" s="42" t="s">
        <v>150</v>
      </c>
      <c r="I956" s="42"/>
      <c r="J956" s="45" t="s">
        <v>147</v>
      </c>
      <c r="K956" s="42" t="s">
        <v>78</v>
      </c>
      <c r="L956" s="42" t="s">
        <v>78</v>
      </c>
      <c r="M956" s="44" t="s">
        <v>1286</v>
      </c>
    </row>
    <row r="957" spans="1:13" x14ac:dyDescent="0.35">
      <c r="A957" s="42">
        <v>1205</v>
      </c>
      <c r="B957" s="42" t="s">
        <v>136</v>
      </c>
      <c r="C957" s="42" t="s">
        <v>199</v>
      </c>
      <c r="D957" s="42" t="s">
        <v>159</v>
      </c>
      <c r="E957" s="42" t="s">
        <v>206</v>
      </c>
      <c r="F957" s="42" t="s">
        <v>206</v>
      </c>
      <c r="G957" s="42" t="s">
        <v>141</v>
      </c>
      <c r="H957" s="42" t="s">
        <v>150</v>
      </c>
      <c r="I957" s="42"/>
      <c r="J957" s="45" t="s">
        <v>147</v>
      </c>
      <c r="K957" s="42" t="s">
        <v>80</v>
      </c>
      <c r="L957" s="42" t="s">
        <v>80</v>
      </c>
      <c r="M957" s="44" t="s">
        <v>1287</v>
      </c>
    </row>
    <row r="958" spans="1:13" x14ac:dyDescent="0.35">
      <c r="A958" s="42">
        <v>1205</v>
      </c>
      <c r="B958" s="42" t="s">
        <v>136</v>
      </c>
      <c r="C958" s="42" t="s">
        <v>199</v>
      </c>
      <c r="D958" s="42" t="s">
        <v>159</v>
      </c>
      <c r="E958" s="42" t="s">
        <v>206</v>
      </c>
      <c r="F958" s="42" t="s">
        <v>206</v>
      </c>
      <c r="G958" s="42" t="s">
        <v>141</v>
      </c>
      <c r="H958" s="42" t="s">
        <v>150</v>
      </c>
      <c r="I958" s="42"/>
      <c r="J958" s="45" t="s">
        <v>147</v>
      </c>
      <c r="K958" s="42" t="s">
        <v>78</v>
      </c>
      <c r="L958" s="42" t="s">
        <v>78</v>
      </c>
      <c r="M958" s="44" t="s">
        <v>1288</v>
      </c>
    </row>
    <row r="959" spans="1:13" x14ac:dyDescent="0.35">
      <c r="A959" s="42">
        <v>1205</v>
      </c>
      <c r="B959" s="42" t="s">
        <v>136</v>
      </c>
      <c r="C959" s="42" t="s">
        <v>199</v>
      </c>
      <c r="D959" s="42" t="s">
        <v>159</v>
      </c>
      <c r="E959" s="42" t="s">
        <v>206</v>
      </c>
      <c r="F959" s="42" t="s">
        <v>206</v>
      </c>
      <c r="G959" s="42" t="s">
        <v>141</v>
      </c>
      <c r="H959" s="42" t="s">
        <v>156</v>
      </c>
      <c r="I959" s="42"/>
      <c r="J959" s="43" t="s">
        <v>143</v>
      </c>
      <c r="K959" s="42" t="s">
        <v>144</v>
      </c>
      <c r="L959" s="42" t="s">
        <v>144</v>
      </c>
      <c r="M959" s="44" t="s">
        <v>273</v>
      </c>
    </row>
    <row r="960" spans="1:13" x14ac:dyDescent="0.35">
      <c r="A960" s="42">
        <v>1205</v>
      </c>
      <c r="B960" s="42" t="s">
        <v>136</v>
      </c>
      <c r="C960" s="42" t="s">
        <v>199</v>
      </c>
      <c r="D960" s="42" t="s">
        <v>159</v>
      </c>
      <c r="E960" s="42" t="s">
        <v>206</v>
      </c>
      <c r="F960" s="42" t="s">
        <v>206</v>
      </c>
      <c r="G960" s="42" t="s">
        <v>141</v>
      </c>
      <c r="H960" s="42" t="s">
        <v>156</v>
      </c>
      <c r="I960" s="42"/>
      <c r="J960" s="43" t="s">
        <v>143</v>
      </c>
      <c r="K960" s="42" t="s">
        <v>268</v>
      </c>
      <c r="L960" s="42" t="s">
        <v>268</v>
      </c>
      <c r="M960" s="44" t="s">
        <v>1289</v>
      </c>
    </row>
    <row r="961" spans="1:13" ht="37.5" x14ac:dyDescent="0.35">
      <c r="A961" s="42">
        <v>1116</v>
      </c>
      <c r="B961" s="42" t="s">
        <v>175</v>
      </c>
      <c r="C961" s="42" t="s">
        <v>199</v>
      </c>
      <c r="D961" s="42" t="s">
        <v>159</v>
      </c>
      <c r="E961" s="42" t="s">
        <v>160</v>
      </c>
      <c r="F961" s="42" t="s">
        <v>160</v>
      </c>
      <c r="G961" s="42" t="s">
        <v>141</v>
      </c>
      <c r="H961" s="42" t="s">
        <v>142</v>
      </c>
      <c r="I961" s="42">
        <v>4</v>
      </c>
      <c r="J961" s="43" t="s">
        <v>143</v>
      </c>
      <c r="K961" s="42" t="s">
        <v>76</v>
      </c>
      <c r="L961" s="42" t="s">
        <v>1290</v>
      </c>
      <c r="M961" s="44" t="s">
        <v>1291</v>
      </c>
    </row>
    <row r="962" spans="1:13" x14ac:dyDescent="0.35">
      <c r="A962" s="42">
        <v>1116</v>
      </c>
      <c r="B962" s="42" t="s">
        <v>175</v>
      </c>
      <c r="C962" s="42" t="s">
        <v>199</v>
      </c>
      <c r="D962" s="42" t="s">
        <v>159</v>
      </c>
      <c r="E962" s="42" t="s">
        <v>160</v>
      </c>
      <c r="F962" s="42" t="s">
        <v>160</v>
      </c>
      <c r="G962" s="42" t="s">
        <v>141</v>
      </c>
      <c r="H962" s="42" t="s">
        <v>183</v>
      </c>
      <c r="I962" s="42">
        <v>3</v>
      </c>
      <c r="J962" s="43" t="s">
        <v>143</v>
      </c>
      <c r="K962" s="42" t="s">
        <v>184</v>
      </c>
      <c r="L962" s="42" t="s">
        <v>1292</v>
      </c>
      <c r="M962" s="44" t="s">
        <v>1293</v>
      </c>
    </row>
    <row r="963" spans="1:13" ht="25" x14ac:dyDescent="0.35">
      <c r="A963" s="42">
        <v>1116</v>
      </c>
      <c r="B963" s="42" t="s">
        <v>175</v>
      </c>
      <c r="C963" s="42" t="s">
        <v>199</v>
      </c>
      <c r="D963" s="42" t="s">
        <v>159</v>
      </c>
      <c r="E963" s="42" t="s">
        <v>160</v>
      </c>
      <c r="F963" s="42" t="s">
        <v>160</v>
      </c>
      <c r="G963" s="42" t="s">
        <v>141</v>
      </c>
      <c r="H963" s="42" t="s">
        <v>146</v>
      </c>
      <c r="I963" s="42">
        <v>4</v>
      </c>
      <c r="J963" s="43" t="s">
        <v>143</v>
      </c>
      <c r="K963" s="42" t="s">
        <v>196</v>
      </c>
      <c r="L963" s="42" t="s">
        <v>450</v>
      </c>
      <c r="M963" s="44" t="s">
        <v>1294</v>
      </c>
    </row>
    <row r="964" spans="1:13" x14ac:dyDescent="0.35">
      <c r="A964" s="42">
        <v>1116</v>
      </c>
      <c r="B964" s="42" t="s">
        <v>175</v>
      </c>
      <c r="C964" s="42" t="s">
        <v>199</v>
      </c>
      <c r="D964" s="42" t="s">
        <v>159</v>
      </c>
      <c r="E964" s="42" t="s">
        <v>160</v>
      </c>
      <c r="F964" s="42" t="s">
        <v>160</v>
      </c>
      <c r="G964" s="42" t="s">
        <v>141</v>
      </c>
      <c r="H964" s="42" t="s">
        <v>150</v>
      </c>
      <c r="I964" s="42"/>
      <c r="J964" s="45" t="s">
        <v>147</v>
      </c>
      <c r="K964" s="42" t="s">
        <v>144</v>
      </c>
      <c r="L964" s="42" t="s">
        <v>144</v>
      </c>
      <c r="M964" s="44" t="s">
        <v>1295</v>
      </c>
    </row>
    <row r="965" spans="1:13" x14ac:dyDescent="0.35">
      <c r="A965" s="42">
        <v>1116</v>
      </c>
      <c r="B965" s="42" t="s">
        <v>175</v>
      </c>
      <c r="C965" s="42" t="s">
        <v>199</v>
      </c>
      <c r="D965" s="42" t="s">
        <v>159</v>
      </c>
      <c r="E965" s="42" t="s">
        <v>160</v>
      </c>
      <c r="F965" s="42" t="s">
        <v>160</v>
      </c>
      <c r="G965" s="42" t="s">
        <v>141</v>
      </c>
      <c r="H965" s="42" t="s">
        <v>156</v>
      </c>
      <c r="I965" s="42"/>
      <c r="J965" s="43" t="s">
        <v>143</v>
      </c>
      <c r="K965" s="42" t="s">
        <v>144</v>
      </c>
      <c r="L965" s="42" t="s">
        <v>144</v>
      </c>
      <c r="M965" s="44" t="s">
        <v>1296</v>
      </c>
    </row>
    <row r="966" spans="1:13" x14ac:dyDescent="0.35">
      <c r="A966" s="42">
        <v>1116</v>
      </c>
      <c r="B966" s="42" t="s">
        <v>175</v>
      </c>
      <c r="C966" s="42" t="s">
        <v>199</v>
      </c>
      <c r="D966" s="42" t="s">
        <v>159</v>
      </c>
      <c r="E966" s="42" t="s">
        <v>160</v>
      </c>
      <c r="F966" s="42" t="s">
        <v>160</v>
      </c>
      <c r="G966" s="42" t="s">
        <v>141</v>
      </c>
      <c r="H966" s="42" t="s">
        <v>156</v>
      </c>
      <c r="I966" s="42"/>
      <c r="J966" s="43" t="s">
        <v>143</v>
      </c>
      <c r="K966" s="42" t="s">
        <v>184</v>
      </c>
      <c r="L966" s="42" t="s">
        <v>626</v>
      </c>
      <c r="M966" s="44" t="s">
        <v>1297</v>
      </c>
    </row>
    <row r="967" spans="1:13" ht="50" x14ac:dyDescent="0.35">
      <c r="A967" s="42">
        <v>1301</v>
      </c>
      <c r="B967" s="42" t="s">
        <v>136</v>
      </c>
      <c r="C967" s="42" t="s">
        <v>137</v>
      </c>
      <c r="D967" s="42" t="s">
        <v>159</v>
      </c>
      <c r="E967" s="42" t="s">
        <v>160</v>
      </c>
      <c r="F967" s="42" t="s">
        <v>160</v>
      </c>
      <c r="G967" s="42" t="s">
        <v>141</v>
      </c>
      <c r="H967" s="42" t="s">
        <v>142</v>
      </c>
      <c r="I967" s="42">
        <v>5</v>
      </c>
      <c r="J967" s="43" t="s">
        <v>143</v>
      </c>
      <c r="K967" s="42" t="s">
        <v>144</v>
      </c>
      <c r="L967" s="42" t="s">
        <v>164</v>
      </c>
      <c r="M967" s="44" t="s">
        <v>1298</v>
      </c>
    </row>
    <row r="968" spans="1:13" ht="25" x14ac:dyDescent="0.35">
      <c r="A968" s="42">
        <v>1301</v>
      </c>
      <c r="B968" s="42" t="s">
        <v>136</v>
      </c>
      <c r="C968" s="42" t="s">
        <v>137</v>
      </c>
      <c r="D968" s="42" t="s">
        <v>159</v>
      </c>
      <c r="E968" s="42" t="s">
        <v>160</v>
      </c>
      <c r="F968" s="42" t="s">
        <v>160</v>
      </c>
      <c r="G968" s="42" t="s">
        <v>141</v>
      </c>
      <c r="H968" s="42" t="s">
        <v>163</v>
      </c>
      <c r="I968" s="42"/>
      <c r="J968" s="43" t="s">
        <v>143</v>
      </c>
      <c r="K968" s="42" t="s">
        <v>50</v>
      </c>
      <c r="L968" s="42" t="s">
        <v>1299</v>
      </c>
      <c r="M968" s="44" t="s">
        <v>1300</v>
      </c>
    </row>
    <row r="969" spans="1:13" ht="25" x14ac:dyDescent="0.35">
      <c r="A969" s="42">
        <v>1301</v>
      </c>
      <c r="B969" s="42" t="s">
        <v>136</v>
      </c>
      <c r="C969" s="42" t="s">
        <v>137</v>
      </c>
      <c r="D969" s="42" t="s">
        <v>159</v>
      </c>
      <c r="E969" s="42" t="s">
        <v>160</v>
      </c>
      <c r="F969" s="42" t="s">
        <v>160</v>
      </c>
      <c r="G969" s="42" t="s">
        <v>141</v>
      </c>
      <c r="H969" s="42" t="s">
        <v>166</v>
      </c>
      <c r="I969" s="42">
        <v>6</v>
      </c>
      <c r="J969" s="43" t="s">
        <v>143</v>
      </c>
      <c r="K969" s="42" t="s">
        <v>144</v>
      </c>
      <c r="L969" s="42" t="s">
        <v>144</v>
      </c>
      <c r="M969" s="44" t="s">
        <v>1301</v>
      </c>
    </row>
    <row r="970" spans="1:13" ht="50" x14ac:dyDescent="0.35">
      <c r="A970" s="42">
        <v>1301</v>
      </c>
      <c r="B970" s="42" t="s">
        <v>136</v>
      </c>
      <c r="C970" s="42" t="s">
        <v>137</v>
      </c>
      <c r="D970" s="42" t="s">
        <v>159</v>
      </c>
      <c r="E970" s="42" t="s">
        <v>160</v>
      </c>
      <c r="F970" s="42" t="s">
        <v>160</v>
      </c>
      <c r="G970" s="42" t="s">
        <v>141</v>
      </c>
      <c r="H970" s="42" t="s">
        <v>146</v>
      </c>
      <c r="I970" s="42">
        <v>4</v>
      </c>
      <c r="J970" s="43" t="s">
        <v>143</v>
      </c>
      <c r="K970" s="42" t="s">
        <v>50</v>
      </c>
      <c r="L970" s="42" t="s">
        <v>1302</v>
      </c>
      <c r="M970" s="44" t="s">
        <v>1303</v>
      </c>
    </row>
    <row r="971" spans="1:13" x14ac:dyDescent="0.35">
      <c r="A971" s="42">
        <v>1301</v>
      </c>
      <c r="B971" s="42" t="s">
        <v>136</v>
      </c>
      <c r="C971" s="42" t="s">
        <v>137</v>
      </c>
      <c r="D971" s="42" t="s">
        <v>159</v>
      </c>
      <c r="E971" s="42" t="s">
        <v>160</v>
      </c>
      <c r="F971" s="42" t="s">
        <v>160</v>
      </c>
      <c r="G971" s="42" t="s">
        <v>141</v>
      </c>
      <c r="H971" s="42" t="s">
        <v>150</v>
      </c>
      <c r="I971" s="42"/>
      <c r="J971" s="45" t="s">
        <v>147</v>
      </c>
      <c r="K971" s="42" t="s">
        <v>144</v>
      </c>
      <c r="L971" s="42" t="s">
        <v>144</v>
      </c>
      <c r="M971" s="44" t="s">
        <v>1304</v>
      </c>
    </row>
    <row r="972" spans="1:13" x14ac:dyDescent="0.35">
      <c r="A972" s="42">
        <v>1301</v>
      </c>
      <c r="B972" s="42" t="s">
        <v>136</v>
      </c>
      <c r="C972" s="42" t="s">
        <v>137</v>
      </c>
      <c r="D972" s="42" t="s">
        <v>159</v>
      </c>
      <c r="E972" s="42" t="s">
        <v>160</v>
      </c>
      <c r="F972" s="42" t="s">
        <v>160</v>
      </c>
      <c r="G972" s="42" t="s">
        <v>141</v>
      </c>
      <c r="H972" s="42" t="s">
        <v>156</v>
      </c>
      <c r="I972" s="42"/>
      <c r="J972" s="43" t="s">
        <v>143</v>
      </c>
      <c r="K972" s="42" t="s">
        <v>144</v>
      </c>
      <c r="L972" s="42" t="s">
        <v>144</v>
      </c>
      <c r="M972" s="44" t="s">
        <v>1305</v>
      </c>
    </row>
    <row r="973" spans="1:13" x14ac:dyDescent="0.35">
      <c r="A973" s="42">
        <v>1301</v>
      </c>
      <c r="B973" s="42" t="s">
        <v>136</v>
      </c>
      <c r="C973" s="42" t="s">
        <v>137</v>
      </c>
      <c r="D973" s="42" t="s">
        <v>159</v>
      </c>
      <c r="E973" s="42" t="s">
        <v>160</v>
      </c>
      <c r="F973" s="42" t="s">
        <v>160</v>
      </c>
      <c r="G973" s="42" t="s">
        <v>141</v>
      </c>
      <c r="H973" s="42" t="s">
        <v>156</v>
      </c>
      <c r="I973" s="42"/>
      <c r="J973" s="43" t="s">
        <v>143</v>
      </c>
      <c r="K973" s="42" t="s">
        <v>78</v>
      </c>
      <c r="L973" s="42" t="s">
        <v>78</v>
      </c>
      <c r="M973" s="44" t="s">
        <v>1306</v>
      </c>
    </row>
    <row r="974" spans="1:13" x14ac:dyDescent="0.35">
      <c r="A974" s="42">
        <v>1301</v>
      </c>
      <c r="B974" s="42" t="s">
        <v>136</v>
      </c>
      <c r="C974" s="42" t="s">
        <v>137</v>
      </c>
      <c r="D974" s="42" t="s">
        <v>159</v>
      </c>
      <c r="E974" s="42" t="s">
        <v>160</v>
      </c>
      <c r="F974" s="42" t="s">
        <v>160</v>
      </c>
      <c r="G974" s="42" t="s">
        <v>141</v>
      </c>
      <c r="H974" s="42" t="s">
        <v>156</v>
      </c>
      <c r="I974" s="42"/>
      <c r="J974" s="43" t="s">
        <v>143</v>
      </c>
      <c r="K974" s="42" t="s">
        <v>210</v>
      </c>
      <c r="L974" s="42" t="s">
        <v>210</v>
      </c>
      <c r="M974" s="44" t="s">
        <v>1307</v>
      </c>
    </row>
    <row r="975" spans="1:13" x14ac:dyDescent="0.35">
      <c r="A975" s="42">
        <v>1216</v>
      </c>
      <c r="B975" s="42" t="s">
        <v>175</v>
      </c>
      <c r="C975" s="42" t="s">
        <v>199</v>
      </c>
      <c r="D975" s="42" t="s">
        <v>176</v>
      </c>
      <c r="E975" s="42" t="s">
        <v>206</v>
      </c>
      <c r="F975" s="42" t="s">
        <v>206</v>
      </c>
      <c r="G975" s="42" t="s">
        <v>200</v>
      </c>
      <c r="H975" s="42" t="s">
        <v>146</v>
      </c>
      <c r="I975" s="42">
        <v>10</v>
      </c>
      <c r="J975" s="45" t="s">
        <v>147</v>
      </c>
      <c r="K975" s="42" t="s">
        <v>190</v>
      </c>
      <c r="L975" s="42" t="s">
        <v>190</v>
      </c>
      <c r="M975" s="44" t="s">
        <v>1308</v>
      </c>
    </row>
    <row r="976" spans="1:13" x14ac:dyDescent="0.35">
      <c r="A976" s="42">
        <v>1216</v>
      </c>
      <c r="B976" s="42" t="s">
        <v>175</v>
      </c>
      <c r="C976" s="42" t="s">
        <v>199</v>
      </c>
      <c r="D976" s="42" t="s">
        <v>176</v>
      </c>
      <c r="E976" s="42" t="s">
        <v>206</v>
      </c>
      <c r="F976" s="42" t="s">
        <v>206</v>
      </c>
      <c r="G976" s="42" t="s">
        <v>200</v>
      </c>
      <c r="H976" s="42" t="s">
        <v>150</v>
      </c>
      <c r="I976" s="42"/>
      <c r="J976" s="45" t="s">
        <v>147</v>
      </c>
      <c r="K976" s="42" t="s">
        <v>210</v>
      </c>
      <c r="L976" s="42" t="s">
        <v>210</v>
      </c>
      <c r="M976" s="44" t="s">
        <v>1309</v>
      </c>
    </row>
    <row r="977" spans="1:13" x14ac:dyDescent="0.35">
      <c r="A977" s="42">
        <v>1216</v>
      </c>
      <c r="B977" s="42" t="s">
        <v>175</v>
      </c>
      <c r="C977" s="42" t="s">
        <v>199</v>
      </c>
      <c r="D977" s="42" t="s">
        <v>176</v>
      </c>
      <c r="E977" s="42" t="s">
        <v>206</v>
      </c>
      <c r="F977" s="42" t="s">
        <v>206</v>
      </c>
      <c r="G977" s="42" t="s">
        <v>200</v>
      </c>
      <c r="H977" s="42" t="s">
        <v>150</v>
      </c>
      <c r="I977" s="42"/>
      <c r="J977" s="45" t="s">
        <v>147</v>
      </c>
      <c r="K977" s="42" t="s">
        <v>210</v>
      </c>
      <c r="L977" s="42" t="s">
        <v>210</v>
      </c>
      <c r="M977" s="44" t="s">
        <v>1310</v>
      </c>
    </row>
    <row r="978" spans="1:13" x14ac:dyDescent="0.35">
      <c r="A978" s="42">
        <v>1216</v>
      </c>
      <c r="B978" s="42" t="s">
        <v>175</v>
      </c>
      <c r="C978" s="42" t="s">
        <v>199</v>
      </c>
      <c r="D978" s="42" t="s">
        <v>176</v>
      </c>
      <c r="E978" s="42" t="s">
        <v>206</v>
      </c>
      <c r="F978" s="42" t="s">
        <v>206</v>
      </c>
      <c r="G978" s="42" t="s">
        <v>200</v>
      </c>
      <c r="H978" s="42" t="s">
        <v>150</v>
      </c>
      <c r="I978" s="42"/>
      <c r="J978" s="45" t="s">
        <v>147</v>
      </c>
      <c r="K978" s="42" t="s">
        <v>190</v>
      </c>
      <c r="L978" s="42" t="s">
        <v>190</v>
      </c>
      <c r="M978" s="44" t="s">
        <v>1311</v>
      </c>
    </row>
    <row r="979" spans="1:13" x14ac:dyDescent="0.35">
      <c r="A979" s="42">
        <v>1216</v>
      </c>
      <c r="B979" s="42" t="s">
        <v>175</v>
      </c>
      <c r="C979" s="42" t="s">
        <v>199</v>
      </c>
      <c r="D979" s="42" t="s">
        <v>176</v>
      </c>
      <c r="E979" s="42" t="s">
        <v>206</v>
      </c>
      <c r="F979" s="42" t="s">
        <v>206</v>
      </c>
      <c r="G979" s="42" t="s">
        <v>200</v>
      </c>
      <c r="H979" s="42" t="s">
        <v>156</v>
      </c>
      <c r="I979" s="42"/>
      <c r="J979" s="43" t="s">
        <v>143</v>
      </c>
      <c r="K979" s="42" t="s">
        <v>196</v>
      </c>
      <c r="L979" s="42" t="s">
        <v>196</v>
      </c>
      <c r="M979" s="44" t="s">
        <v>1312</v>
      </c>
    </row>
    <row r="980" spans="1:13" x14ac:dyDescent="0.35">
      <c r="A980" s="42">
        <v>1216</v>
      </c>
      <c r="B980" s="42" t="s">
        <v>175</v>
      </c>
      <c r="C980" s="42" t="s">
        <v>199</v>
      </c>
      <c r="D980" s="42" t="s">
        <v>176</v>
      </c>
      <c r="E980" s="42" t="s">
        <v>206</v>
      </c>
      <c r="F980" s="42" t="s">
        <v>206</v>
      </c>
      <c r="G980" s="42" t="s">
        <v>200</v>
      </c>
      <c r="H980" s="42" t="s">
        <v>156</v>
      </c>
      <c r="I980" s="42"/>
      <c r="J980" s="43" t="s">
        <v>143</v>
      </c>
      <c r="K980" s="42" t="s">
        <v>333</v>
      </c>
      <c r="L980" s="42" t="s">
        <v>1313</v>
      </c>
      <c r="M980" s="44" t="s">
        <v>1314</v>
      </c>
    </row>
    <row r="981" spans="1:13" x14ac:dyDescent="0.35">
      <c r="A981" s="42">
        <v>1216</v>
      </c>
      <c r="B981" s="42" t="s">
        <v>175</v>
      </c>
      <c r="C981" s="42" t="s">
        <v>199</v>
      </c>
      <c r="D981" s="42" t="s">
        <v>176</v>
      </c>
      <c r="E981" s="42" t="s">
        <v>206</v>
      </c>
      <c r="F981" s="42" t="s">
        <v>206</v>
      </c>
      <c r="G981" s="42" t="s">
        <v>200</v>
      </c>
      <c r="H981" s="42" t="s">
        <v>156</v>
      </c>
      <c r="I981" s="42"/>
      <c r="J981" s="43" t="s">
        <v>143</v>
      </c>
      <c r="K981" s="42" t="s">
        <v>144</v>
      </c>
      <c r="L981" s="42" t="s">
        <v>164</v>
      </c>
      <c r="M981" s="44" t="s">
        <v>1315</v>
      </c>
    </row>
    <row r="982" spans="1:13" ht="25" x14ac:dyDescent="0.35">
      <c r="A982" s="42">
        <v>1217</v>
      </c>
      <c r="B982" s="42" t="s">
        <v>136</v>
      </c>
      <c r="C982" s="42" t="s">
        <v>137</v>
      </c>
      <c r="D982" s="42" t="s">
        <v>176</v>
      </c>
      <c r="E982" s="42" t="s">
        <v>206</v>
      </c>
      <c r="F982" s="42" t="s">
        <v>206</v>
      </c>
      <c r="G982" s="42" t="s">
        <v>200</v>
      </c>
      <c r="H982" s="42" t="s">
        <v>146</v>
      </c>
      <c r="I982" s="42">
        <v>7</v>
      </c>
      <c r="J982" s="46" t="s">
        <v>222</v>
      </c>
      <c r="K982" s="42" t="s">
        <v>333</v>
      </c>
      <c r="L982" s="42" t="s">
        <v>1316</v>
      </c>
      <c r="M982" s="44" t="s">
        <v>1317</v>
      </c>
    </row>
    <row r="983" spans="1:13" x14ac:dyDescent="0.35">
      <c r="A983" s="42">
        <v>1217</v>
      </c>
      <c r="B983" s="42" t="s">
        <v>136</v>
      </c>
      <c r="C983" s="42" t="s">
        <v>137</v>
      </c>
      <c r="D983" s="42" t="s">
        <v>176</v>
      </c>
      <c r="E983" s="42" t="s">
        <v>206</v>
      </c>
      <c r="F983" s="42" t="s">
        <v>206</v>
      </c>
      <c r="G983" s="42" t="s">
        <v>200</v>
      </c>
      <c r="H983" s="42" t="s">
        <v>150</v>
      </c>
      <c r="I983" s="42"/>
      <c r="J983" s="45" t="s">
        <v>147</v>
      </c>
      <c r="K983" s="42" t="s">
        <v>144</v>
      </c>
      <c r="L983" s="42" t="s">
        <v>148</v>
      </c>
      <c r="M983" s="44" t="s">
        <v>1318</v>
      </c>
    </row>
    <row r="984" spans="1:13" x14ac:dyDescent="0.35">
      <c r="A984" s="42">
        <v>1217</v>
      </c>
      <c r="B984" s="42" t="s">
        <v>136</v>
      </c>
      <c r="C984" s="42" t="s">
        <v>137</v>
      </c>
      <c r="D984" s="42" t="s">
        <v>176</v>
      </c>
      <c r="E984" s="42" t="s">
        <v>206</v>
      </c>
      <c r="F984" s="42" t="s">
        <v>206</v>
      </c>
      <c r="G984" s="42" t="s">
        <v>200</v>
      </c>
      <c r="H984" s="42" t="s">
        <v>150</v>
      </c>
      <c r="I984" s="42"/>
      <c r="J984" s="45" t="s">
        <v>147</v>
      </c>
      <c r="K984" s="42" t="s">
        <v>144</v>
      </c>
      <c r="L984" s="42" t="s">
        <v>891</v>
      </c>
      <c r="M984" s="44" t="s">
        <v>1319</v>
      </c>
    </row>
    <row r="985" spans="1:13" x14ac:dyDescent="0.35">
      <c r="A985" s="42">
        <v>1217</v>
      </c>
      <c r="B985" s="42" t="s">
        <v>136</v>
      </c>
      <c r="C985" s="42" t="s">
        <v>137</v>
      </c>
      <c r="D985" s="42" t="s">
        <v>176</v>
      </c>
      <c r="E985" s="42" t="s">
        <v>206</v>
      </c>
      <c r="F985" s="42" t="s">
        <v>206</v>
      </c>
      <c r="G985" s="42" t="s">
        <v>200</v>
      </c>
      <c r="H985" s="42" t="s">
        <v>150</v>
      </c>
      <c r="I985" s="42"/>
      <c r="J985" s="45" t="s">
        <v>147</v>
      </c>
      <c r="K985" s="42" t="s">
        <v>76</v>
      </c>
      <c r="L985" s="42" t="s">
        <v>618</v>
      </c>
      <c r="M985" s="44" t="s">
        <v>1320</v>
      </c>
    </row>
    <row r="986" spans="1:13" x14ac:dyDescent="0.35">
      <c r="A986" s="42">
        <v>1217</v>
      </c>
      <c r="B986" s="42" t="s">
        <v>136</v>
      </c>
      <c r="C986" s="42" t="s">
        <v>137</v>
      </c>
      <c r="D986" s="42" t="s">
        <v>176</v>
      </c>
      <c r="E986" s="42" t="s">
        <v>206</v>
      </c>
      <c r="F986" s="42" t="s">
        <v>206</v>
      </c>
      <c r="G986" s="42" t="s">
        <v>200</v>
      </c>
      <c r="H986" s="42" t="s">
        <v>156</v>
      </c>
      <c r="I986" s="42"/>
      <c r="J986" s="43" t="s">
        <v>143</v>
      </c>
      <c r="K986" s="42" t="s">
        <v>196</v>
      </c>
      <c r="L986" s="42" t="s">
        <v>517</v>
      </c>
      <c r="M986" s="44" t="s">
        <v>1321</v>
      </c>
    </row>
    <row r="987" spans="1:13" x14ac:dyDescent="0.35">
      <c r="A987" s="42">
        <v>1056</v>
      </c>
      <c r="B987" s="42" t="s">
        <v>175</v>
      </c>
      <c r="C987" s="42" t="s">
        <v>137</v>
      </c>
      <c r="D987" s="42" t="s">
        <v>176</v>
      </c>
      <c r="E987" s="42" t="s">
        <v>160</v>
      </c>
      <c r="F987" s="42" t="s">
        <v>160</v>
      </c>
      <c r="G987" s="42" t="s">
        <v>141</v>
      </c>
      <c r="H987" s="42" t="s">
        <v>142</v>
      </c>
      <c r="I987" s="42">
        <v>2</v>
      </c>
      <c r="J987" s="43" t="s">
        <v>143</v>
      </c>
      <c r="K987" s="42" t="s">
        <v>144</v>
      </c>
      <c r="L987" s="42" t="s">
        <v>144</v>
      </c>
      <c r="M987" s="44" t="s">
        <v>1322</v>
      </c>
    </row>
    <row r="988" spans="1:13" ht="25" x14ac:dyDescent="0.35">
      <c r="A988" s="42">
        <v>1056</v>
      </c>
      <c r="B988" s="42" t="s">
        <v>175</v>
      </c>
      <c r="C988" s="42" t="s">
        <v>137</v>
      </c>
      <c r="D988" s="42" t="s">
        <v>176</v>
      </c>
      <c r="E988" s="42" t="s">
        <v>160</v>
      </c>
      <c r="F988" s="42" t="s">
        <v>160</v>
      </c>
      <c r="G988" s="42" t="s">
        <v>141</v>
      </c>
      <c r="H988" s="42" t="s">
        <v>166</v>
      </c>
      <c r="I988" s="42">
        <v>4</v>
      </c>
      <c r="J988" s="43" t="s">
        <v>143</v>
      </c>
      <c r="K988" s="42" t="s">
        <v>50</v>
      </c>
      <c r="L988" s="42" t="s">
        <v>1323</v>
      </c>
      <c r="M988" s="44" t="s">
        <v>1324</v>
      </c>
    </row>
    <row r="989" spans="1:13" x14ac:dyDescent="0.35">
      <c r="A989" s="42">
        <v>1056</v>
      </c>
      <c r="B989" s="42" t="s">
        <v>175</v>
      </c>
      <c r="C989" s="42" t="s">
        <v>137</v>
      </c>
      <c r="D989" s="42" t="s">
        <v>176</v>
      </c>
      <c r="E989" s="42" t="s">
        <v>160</v>
      </c>
      <c r="F989" s="42" t="s">
        <v>160</v>
      </c>
      <c r="G989" s="42" t="s">
        <v>141</v>
      </c>
      <c r="H989" s="42" t="s">
        <v>183</v>
      </c>
      <c r="I989" s="42">
        <v>6</v>
      </c>
      <c r="J989" s="43" t="s">
        <v>143</v>
      </c>
      <c r="K989" s="42" t="s">
        <v>196</v>
      </c>
      <c r="L989" s="42" t="s">
        <v>196</v>
      </c>
      <c r="M989" s="44" t="s">
        <v>1325</v>
      </c>
    </row>
    <row r="990" spans="1:13" x14ac:dyDescent="0.35">
      <c r="A990" s="42">
        <v>1056</v>
      </c>
      <c r="B990" s="42" t="s">
        <v>175</v>
      </c>
      <c r="C990" s="42" t="s">
        <v>137</v>
      </c>
      <c r="D990" s="42" t="s">
        <v>176</v>
      </c>
      <c r="E990" s="42" t="s">
        <v>160</v>
      </c>
      <c r="F990" s="42" t="s">
        <v>160</v>
      </c>
      <c r="G990" s="42" t="s">
        <v>141</v>
      </c>
      <c r="H990" s="42" t="s">
        <v>146</v>
      </c>
      <c r="I990" s="42">
        <v>3</v>
      </c>
      <c r="J990" s="43" t="s">
        <v>143</v>
      </c>
      <c r="K990" s="42" t="s">
        <v>333</v>
      </c>
      <c r="L990" s="42" t="s">
        <v>556</v>
      </c>
      <c r="M990" s="44" t="s">
        <v>1326</v>
      </c>
    </row>
    <row r="991" spans="1:13" x14ac:dyDescent="0.35">
      <c r="A991" s="42">
        <v>1056</v>
      </c>
      <c r="B991" s="42" t="s">
        <v>175</v>
      </c>
      <c r="C991" s="42" t="s">
        <v>137</v>
      </c>
      <c r="D991" s="42" t="s">
        <v>176</v>
      </c>
      <c r="E991" s="42" t="s">
        <v>160</v>
      </c>
      <c r="F991" s="42" t="s">
        <v>160</v>
      </c>
      <c r="G991" s="42" t="s">
        <v>141</v>
      </c>
      <c r="H991" s="42" t="s">
        <v>150</v>
      </c>
      <c r="I991" s="42"/>
      <c r="J991" s="45" t="s">
        <v>147</v>
      </c>
      <c r="K991" s="42" t="s">
        <v>76</v>
      </c>
      <c r="L991" s="42" t="s">
        <v>618</v>
      </c>
      <c r="M991" s="44" t="s">
        <v>1327</v>
      </c>
    </row>
    <row r="992" spans="1:13" x14ac:dyDescent="0.35">
      <c r="A992" s="42">
        <v>1056</v>
      </c>
      <c r="B992" s="42" t="s">
        <v>175</v>
      </c>
      <c r="C992" s="42" t="s">
        <v>137</v>
      </c>
      <c r="D992" s="42" t="s">
        <v>176</v>
      </c>
      <c r="E992" s="42" t="s">
        <v>160</v>
      </c>
      <c r="F992" s="42" t="s">
        <v>160</v>
      </c>
      <c r="G992" s="42" t="s">
        <v>141</v>
      </c>
      <c r="H992" s="42" t="s">
        <v>150</v>
      </c>
      <c r="I992" s="42"/>
      <c r="J992" s="45" t="s">
        <v>147</v>
      </c>
      <c r="K992" s="42" t="s">
        <v>210</v>
      </c>
      <c r="L992" s="42" t="s">
        <v>210</v>
      </c>
      <c r="M992" s="44" t="s">
        <v>1328</v>
      </c>
    </row>
    <row r="993" spans="1:13" x14ac:dyDescent="0.35">
      <c r="A993" s="42">
        <v>1056</v>
      </c>
      <c r="B993" s="42" t="s">
        <v>175</v>
      </c>
      <c r="C993" s="42" t="s">
        <v>137</v>
      </c>
      <c r="D993" s="42" t="s">
        <v>176</v>
      </c>
      <c r="E993" s="42" t="s">
        <v>160</v>
      </c>
      <c r="F993" s="42" t="s">
        <v>160</v>
      </c>
      <c r="G993" s="42" t="s">
        <v>141</v>
      </c>
      <c r="H993" s="42" t="s">
        <v>150</v>
      </c>
      <c r="I993" s="42"/>
      <c r="J993" s="45" t="s">
        <v>147</v>
      </c>
      <c r="K993" s="42" t="s">
        <v>78</v>
      </c>
      <c r="L993" s="42" t="s">
        <v>78</v>
      </c>
      <c r="M993" s="44" t="s">
        <v>1329</v>
      </c>
    </row>
    <row r="994" spans="1:13" x14ac:dyDescent="0.35">
      <c r="A994" s="42">
        <v>1056</v>
      </c>
      <c r="B994" s="42" t="s">
        <v>175</v>
      </c>
      <c r="C994" s="42" t="s">
        <v>137</v>
      </c>
      <c r="D994" s="42" t="s">
        <v>176</v>
      </c>
      <c r="E994" s="42" t="s">
        <v>160</v>
      </c>
      <c r="F994" s="42" t="s">
        <v>160</v>
      </c>
      <c r="G994" s="42" t="s">
        <v>141</v>
      </c>
      <c r="H994" s="42" t="s">
        <v>156</v>
      </c>
      <c r="I994" s="42"/>
      <c r="J994" s="43" t="s">
        <v>143</v>
      </c>
      <c r="K994" s="42" t="s">
        <v>268</v>
      </c>
      <c r="L994" s="42" t="s">
        <v>268</v>
      </c>
      <c r="M994" s="44" t="s">
        <v>1330</v>
      </c>
    </row>
    <row r="995" spans="1:13" x14ac:dyDescent="0.35">
      <c r="A995" s="42">
        <v>1056</v>
      </c>
      <c r="B995" s="42" t="s">
        <v>175</v>
      </c>
      <c r="C995" s="42" t="s">
        <v>137</v>
      </c>
      <c r="D995" s="42" t="s">
        <v>176</v>
      </c>
      <c r="E995" s="42" t="s">
        <v>160</v>
      </c>
      <c r="F995" s="42" t="s">
        <v>160</v>
      </c>
      <c r="G995" s="42" t="s">
        <v>141</v>
      </c>
      <c r="H995" s="42" t="s">
        <v>156</v>
      </c>
      <c r="I995" s="42"/>
      <c r="J995" s="43" t="s">
        <v>143</v>
      </c>
      <c r="K995" s="42" t="s">
        <v>196</v>
      </c>
      <c r="L995" s="42" t="s">
        <v>196</v>
      </c>
      <c r="M995" s="44" t="s">
        <v>1331</v>
      </c>
    </row>
    <row r="996" spans="1:13" x14ac:dyDescent="0.35">
      <c r="A996" s="42">
        <v>1056</v>
      </c>
      <c r="B996" s="42" t="s">
        <v>175</v>
      </c>
      <c r="C996" s="42" t="s">
        <v>137</v>
      </c>
      <c r="D996" s="42" t="s">
        <v>176</v>
      </c>
      <c r="E996" s="42" t="s">
        <v>160</v>
      </c>
      <c r="F996" s="42" t="s">
        <v>160</v>
      </c>
      <c r="G996" s="42" t="s">
        <v>141</v>
      </c>
      <c r="H996" s="42" t="s">
        <v>156</v>
      </c>
      <c r="I996" s="42"/>
      <c r="J996" s="43" t="s">
        <v>143</v>
      </c>
      <c r="K996" s="42" t="s">
        <v>181</v>
      </c>
      <c r="L996" s="42" t="s">
        <v>181</v>
      </c>
      <c r="M996" s="44" t="s">
        <v>1332</v>
      </c>
    </row>
    <row r="997" spans="1:13" ht="37.5" x14ac:dyDescent="0.35">
      <c r="A997" s="42">
        <v>1223</v>
      </c>
      <c r="B997" s="42" t="s">
        <v>136</v>
      </c>
      <c r="C997" s="42" t="s">
        <v>137</v>
      </c>
      <c r="D997" s="42" t="s">
        <v>219</v>
      </c>
      <c r="E997" s="42" t="s">
        <v>139</v>
      </c>
      <c r="F997" s="42" t="s">
        <v>140</v>
      </c>
      <c r="G997" s="42" t="s">
        <v>141</v>
      </c>
      <c r="H997" s="42" t="s">
        <v>177</v>
      </c>
      <c r="I997" s="42">
        <v>5</v>
      </c>
      <c r="J997" s="43" t="s">
        <v>143</v>
      </c>
      <c r="K997" s="42" t="s">
        <v>53</v>
      </c>
      <c r="L997" s="42" t="s">
        <v>1333</v>
      </c>
      <c r="M997" s="44" t="s">
        <v>1334</v>
      </c>
    </row>
    <row r="998" spans="1:13" ht="25" x14ac:dyDescent="0.35">
      <c r="A998" s="42">
        <v>1223</v>
      </c>
      <c r="B998" s="42" t="s">
        <v>136</v>
      </c>
      <c r="C998" s="42" t="s">
        <v>137</v>
      </c>
      <c r="D998" s="42" t="s">
        <v>219</v>
      </c>
      <c r="E998" s="42" t="s">
        <v>139</v>
      </c>
      <c r="F998" s="42" t="s">
        <v>140</v>
      </c>
      <c r="G998" s="42" t="s">
        <v>141</v>
      </c>
      <c r="H998" s="42" t="s">
        <v>146</v>
      </c>
      <c r="I998" s="42">
        <v>7</v>
      </c>
      <c r="J998" s="46" t="s">
        <v>222</v>
      </c>
      <c r="K998" s="42" t="s">
        <v>196</v>
      </c>
      <c r="L998" s="42" t="s">
        <v>837</v>
      </c>
      <c r="M998" s="44" t="s">
        <v>1335</v>
      </c>
    </row>
    <row r="999" spans="1:13" x14ac:dyDescent="0.35">
      <c r="A999" s="42">
        <v>1223</v>
      </c>
      <c r="B999" s="42" t="s">
        <v>136</v>
      </c>
      <c r="C999" s="42" t="s">
        <v>137</v>
      </c>
      <c r="D999" s="42" t="s">
        <v>219</v>
      </c>
      <c r="E999" s="42" t="s">
        <v>139</v>
      </c>
      <c r="F999" s="42" t="s">
        <v>140</v>
      </c>
      <c r="G999" s="42" t="s">
        <v>141</v>
      </c>
      <c r="H999" s="42" t="s">
        <v>150</v>
      </c>
      <c r="I999" s="42"/>
      <c r="J999" s="45" t="s">
        <v>147</v>
      </c>
      <c r="K999" s="42" t="s">
        <v>76</v>
      </c>
      <c r="L999" s="42" t="s">
        <v>1336</v>
      </c>
      <c r="M999" s="44" t="s">
        <v>1337</v>
      </c>
    </row>
    <row r="1000" spans="1:13" x14ac:dyDescent="0.35">
      <c r="A1000" s="42">
        <v>1223</v>
      </c>
      <c r="B1000" s="42" t="s">
        <v>136</v>
      </c>
      <c r="C1000" s="42" t="s">
        <v>137</v>
      </c>
      <c r="D1000" s="42" t="s">
        <v>219</v>
      </c>
      <c r="E1000" s="42" t="s">
        <v>139</v>
      </c>
      <c r="F1000" s="42" t="s">
        <v>140</v>
      </c>
      <c r="G1000" s="42" t="s">
        <v>141</v>
      </c>
      <c r="H1000" s="42" t="s">
        <v>150</v>
      </c>
      <c r="I1000" s="42"/>
      <c r="J1000" s="45" t="s">
        <v>147</v>
      </c>
      <c r="K1000" s="42" t="s">
        <v>210</v>
      </c>
      <c r="L1000" s="42" t="s">
        <v>210</v>
      </c>
      <c r="M1000" s="44" t="s">
        <v>1338</v>
      </c>
    </row>
    <row r="1001" spans="1:13" x14ac:dyDescent="0.35">
      <c r="A1001" s="42">
        <v>1223</v>
      </c>
      <c r="B1001" s="42" t="s">
        <v>136</v>
      </c>
      <c r="C1001" s="42" t="s">
        <v>137</v>
      </c>
      <c r="D1001" s="42" t="s">
        <v>219</v>
      </c>
      <c r="E1001" s="42" t="s">
        <v>139</v>
      </c>
      <c r="F1001" s="42" t="s">
        <v>140</v>
      </c>
      <c r="G1001" s="42" t="s">
        <v>141</v>
      </c>
      <c r="H1001" s="42" t="s">
        <v>150</v>
      </c>
      <c r="I1001" s="42"/>
      <c r="J1001" s="45" t="s">
        <v>147</v>
      </c>
      <c r="K1001" s="42" t="s">
        <v>144</v>
      </c>
      <c r="L1001" s="42" t="s">
        <v>144</v>
      </c>
      <c r="M1001" s="44" t="s">
        <v>1339</v>
      </c>
    </row>
    <row r="1002" spans="1:13" x14ac:dyDescent="0.35">
      <c r="A1002" s="42">
        <v>1223</v>
      </c>
      <c r="B1002" s="42" t="s">
        <v>136</v>
      </c>
      <c r="C1002" s="42" t="s">
        <v>137</v>
      </c>
      <c r="D1002" s="42" t="s">
        <v>219</v>
      </c>
      <c r="E1002" s="42" t="s">
        <v>139</v>
      </c>
      <c r="F1002" s="42" t="s">
        <v>140</v>
      </c>
      <c r="G1002" s="42" t="s">
        <v>141</v>
      </c>
      <c r="H1002" s="42" t="s">
        <v>156</v>
      </c>
      <c r="I1002" s="42"/>
      <c r="J1002" s="43" t="s">
        <v>143</v>
      </c>
      <c r="K1002" s="42" t="s">
        <v>181</v>
      </c>
      <c r="L1002" s="42" t="s">
        <v>1124</v>
      </c>
      <c r="M1002" s="44" t="s">
        <v>1340</v>
      </c>
    </row>
    <row r="1003" spans="1:13" ht="25" x14ac:dyDescent="0.35">
      <c r="A1003" s="42">
        <v>1223</v>
      </c>
      <c r="B1003" s="42" t="s">
        <v>136</v>
      </c>
      <c r="C1003" s="42" t="s">
        <v>137</v>
      </c>
      <c r="D1003" s="42" t="s">
        <v>219</v>
      </c>
      <c r="E1003" s="42" t="s">
        <v>139</v>
      </c>
      <c r="F1003" s="42" t="s">
        <v>140</v>
      </c>
      <c r="G1003" s="42" t="s">
        <v>141</v>
      </c>
      <c r="H1003" s="42" t="s">
        <v>156</v>
      </c>
      <c r="I1003" s="42"/>
      <c r="J1003" s="43" t="s">
        <v>143</v>
      </c>
      <c r="K1003" s="42" t="s">
        <v>181</v>
      </c>
      <c r="L1003" s="42" t="s">
        <v>498</v>
      </c>
      <c r="M1003" s="44" t="s">
        <v>1341</v>
      </c>
    </row>
    <row r="1004" spans="1:13" x14ac:dyDescent="0.35">
      <c r="A1004" s="42">
        <v>1223</v>
      </c>
      <c r="B1004" s="42" t="s">
        <v>136</v>
      </c>
      <c r="C1004" s="42" t="s">
        <v>137</v>
      </c>
      <c r="D1004" s="42" t="s">
        <v>219</v>
      </c>
      <c r="E1004" s="42" t="s">
        <v>139</v>
      </c>
      <c r="F1004" s="42" t="s">
        <v>140</v>
      </c>
      <c r="G1004" s="42" t="s">
        <v>141</v>
      </c>
      <c r="H1004" s="42" t="s">
        <v>156</v>
      </c>
      <c r="I1004" s="42"/>
      <c r="J1004" s="43" t="s">
        <v>143</v>
      </c>
      <c r="K1004" s="42" t="s">
        <v>196</v>
      </c>
      <c r="L1004" s="42" t="s">
        <v>517</v>
      </c>
      <c r="M1004" s="44" t="s">
        <v>1342</v>
      </c>
    </row>
    <row r="1005" spans="1:13" ht="50" x14ac:dyDescent="0.35">
      <c r="A1005" s="42">
        <v>1227</v>
      </c>
      <c r="B1005" s="42" t="s">
        <v>175</v>
      </c>
      <c r="C1005" s="42" t="s">
        <v>137</v>
      </c>
      <c r="D1005" s="42" t="s">
        <v>176</v>
      </c>
      <c r="E1005" s="42" t="s">
        <v>206</v>
      </c>
      <c r="F1005" s="42" t="s">
        <v>206</v>
      </c>
      <c r="G1005" s="42" t="s">
        <v>141</v>
      </c>
      <c r="H1005" s="42" t="s">
        <v>146</v>
      </c>
      <c r="I1005" s="42">
        <v>10</v>
      </c>
      <c r="J1005" s="45" t="s">
        <v>147</v>
      </c>
      <c r="K1005" s="42" t="s">
        <v>196</v>
      </c>
      <c r="L1005" s="42" t="s">
        <v>709</v>
      </c>
      <c r="M1005" s="44" t="s">
        <v>1343</v>
      </c>
    </row>
    <row r="1006" spans="1:13" x14ac:dyDescent="0.35">
      <c r="A1006" s="42">
        <v>1227</v>
      </c>
      <c r="B1006" s="42" t="s">
        <v>175</v>
      </c>
      <c r="C1006" s="42" t="s">
        <v>137</v>
      </c>
      <c r="D1006" s="42" t="s">
        <v>176</v>
      </c>
      <c r="E1006" s="42" t="s">
        <v>206</v>
      </c>
      <c r="F1006" s="42" t="s">
        <v>206</v>
      </c>
      <c r="G1006" s="42" t="s">
        <v>141</v>
      </c>
      <c r="H1006" s="42" t="s">
        <v>150</v>
      </c>
      <c r="I1006" s="42"/>
      <c r="J1006" s="45" t="s">
        <v>147</v>
      </c>
      <c r="K1006" s="42" t="s">
        <v>53</v>
      </c>
      <c r="L1006" s="42" t="s">
        <v>53</v>
      </c>
      <c r="M1006" s="44" t="s">
        <v>1344</v>
      </c>
    </row>
    <row r="1007" spans="1:13" x14ac:dyDescent="0.35">
      <c r="A1007" s="42">
        <v>1227</v>
      </c>
      <c r="B1007" s="42" t="s">
        <v>175</v>
      </c>
      <c r="C1007" s="42" t="s">
        <v>137</v>
      </c>
      <c r="D1007" s="42" t="s">
        <v>176</v>
      </c>
      <c r="E1007" s="42" t="s">
        <v>206</v>
      </c>
      <c r="F1007" s="42" t="s">
        <v>206</v>
      </c>
      <c r="G1007" s="42" t="s">
        <v>141</v>
      </c>
      <c r="H1007" s="42" t="s">
        <v>150</v>
      </c>
      <c r="I1007" s="42"/>
      <c r="J1007" s="45" t="s">
        <v>147</v>
      </c>
      <c r="K1007" s="42" t="s">
        <v>82</v>
      </c>
      <c r="L1007" s="42" t="s">
        <v>82</v>
      </c>
      <c r="M1007" s="44" t="s">
        <v>1345</v>
      </c>
    </row>
    <row r="1008" spans="1:13" x14ac:dyDescent="0.35">
      <c r="A1008" s="42">
        <v>1227</v>
      </c>
      <c r="B1008" s="42" t="s">
        <v>175</v>
      </c>
      <c r="C1008" s="42" t="s">
        <v>137</v>
      </c>
      <c r="D1008" s="42" t="s">
        <v>176</v>
      </c>
      <c r="E1008" s="42" t="s">
        <v>206</v>
      </c>
      <c r="F1008" s="42" t="s">
        <v>206</v>
      </c>
      <c r="G1008" s="42" t="s">
        <v>141</v>
      </c>
      <c r="H1008" s="42" t="s">
        <v>150</v>
      </c>
      <c r="I1008" s="42"/>
      <c r="J1008" s="45" t="s">
        <v>147</v>
      </c>
      <c r="K1008" s="42" t="s">
        <v>210</v>
      </c>
      <c r="L1008" s="42" t="s">
        <v>210</v>
      </c>
      <c r="M1008" s="44" t="s">
        <v>1346</v>
      </c>
    </row>
    <row r="1009" spans="1:13" x14ac:dyDescent="0.35">
      <c r="A1009" s="42">
        <v>1227</v>
      </c>
      <c r="B1009" s="42" t="s">
        <v>175</v>
      </c>
      <c r="C1009" s="42" t="s">
        <v>137</v>
      </c>
      <c r="D1009" s="42" t="s">
        <v>176</v>
      </c>
      <c r="E1009" s="42" t="s">
        <v>206</v>
      </c>
      <c r="F1009" s="42" t="s">
        <v>206</v>
      </c>
      <c r="G1009" s="42" t="s">
        <v>141</v>
      </c>
      <c r="H1009" s="42" t="s">
        <v>156</v>
      </c>
      <c r="I1009" s="42"/>
      <c r="J1009" s="43" t="s">
        <v>143</v>
      </c>
      <c r="K1009" s="42" t="s">
        <v>144</v>
      </c>
      <c r="L1009" s="42" t="s">
        <v>346</v>
      </c>
      <c r="M1009" s="44" t="s">
        <v>1347</v>
      </c>
    </row>
    <row r="1010" spans="1:13" x14ac:dyDescent="0.35">
      <c r="A1010" s="42">
        <v>1230</v>
      </c>
      <c r="B1010" s="42" t="s">
        <v>136</v>
      </c>
      <c r="C1010" s="42" t="s">
        <v>199</v>
      </c>
      <c r="D1010" s="42" t="s">
        <v>138</v>
      </c>
      <c r="E1010" s="42" t="s">
        <v>139</v>
      </c>
      <c r="F1010" s="42" t="s">
        <v>140</v>
      </c>
      <c r="G1010" s="42" t="s">
        <v>141</v>
      </c>
      <c r="H1010" s="42" t="s">
        <v>142</v>
      </c>
      <c r="I1010" s="42">
        <v>1</v>
      </c>
      <c r="J1010" s="43" t="s">
        <v>143</v>
      </c>
      <c r="K1010" s="42" t="s">
        <v>144</v>
      </c>
      <c r="L1010" s="42" t="s">
        <v>350</v>
      </c>
      <c r="M1010" s="44" t="s">
        <v>1348</v>
      </c>
    </row>
    <row r="1011" spans="1:13" x14ac:dyDescent="0.35">
      <c r="A1011" s="42">
        <v>1230</v>
      </c>
      <c r="B1011" s="42" t="s">
        <v>136</v>
      </c>
      <c r="C1011" s="42" t="s">
        <v>199</v>
      </c>
      <c r="D1011" s="42" t="s">
        <v>138</v>
      </c>
      <c r="E1011" s="42" t="s">
        <v>139</v>
      </c>
      <c r="F1011" s="42" t="s">
        <v>140</v>
      </c>
      <c r="G1011" s="42" t="s">
        <v>141</v>
      </c>
      <c r="H1011" s="42" t="s">
        <v>166</v>
      </c>
      <c r="I1011" s="42">
        <v>1</v>
      </c>
      <c r="J1011" s="43" t="s">
        <v>143</v>
      </c>
      <c r="K1011" s="42" t="s">
        <v>196</v>
      </c>
      <c r="L1011" s="42" t="s">
        <v>196</v>
      </c>
      <c r="M1011" s="44" t="s">
        <v>1349</v>
      </c>
    </row>
    <row r="1012" spans="1:13" x14ac:dyDescent="0.35">
      <c r="A1012" s="42">
        <v>1230</v>
      </c>
      <c r="B1012" s="42" t="s">
        <v>136</v>
      </c>
      <c r="C1012" s="42" t="s">
        <v>199</v>
      </c>
      <c r="D1012" s="42" t="s">
        <v>138</v>
      </c>
      <c r="E1012" s="42" t="s">
        <v>139</v>
      </c>
      <c r="F1012" s="42" t="s">
        <v>140</v>
      </c>
      <c r="G1012" s="42" t="s">
        <v>141</v>
      </c>
      <c r="H1012" s="42" t="s">
        <v>180</v>
      </c>
      <c r="I1012" s="42">
        <v>1</v>
      </c>
      <c r="J1012" s="43" t="s">
        <v>143</v>
      </c>
      <c r="K1012" s="42" t="s">
        <v>193</v>
      </c>
      <c r="L1012" s="42" t="s">
        <v>1350</v>
      </c>
      <c r="M1012" s="44" t="s">
        <v>1351</v>
      </c>
    </row>
    <row r="1013" spans="1:13" x14ac:dyDescent="0.35">
      <c r="A1013" s="42">
        <v>1230</v>
      </c>
      <c r="B1013" s="42" t="s">
        <v>136</v>
      </c>
      <c r="C1013" s="42" t="s">
        <v>199</v>
      </c>
      <c r="D1013" s="42" t="s">
        <v>138</v>
      </c>
      <c r="E1013" s="42" t="s">
        <v>139</v>
      </c>
      <c r="F1013" s="42" t="s">
        <v>140</v>
      </c>
      <c r="G1013" s="42" t="s">
        <v>141</v>
      </c>
      <c r="H1013" s="42" t="s">
        <v>146</v>
      </c>
      <c r="I1013" s="42">
        <v>1</v>
      </c>
      <c r="J1013" s="43" t="s">
        <v>143</v>
      </c>
      <c r="K1013" s="42" t="s">
        <v>305</v>
      </c>
      <c r="L1013" s="42" t="s">
        <v>1352</v>
      </c>
      <c r="M1013" s="44" t="s">
        <v>1353</v>
      </c>
    </row>
    <row r="1014" spans="1:13" x14ac:dyDescent="0.35">
      <c r="A1014" s="42">
        <v>1230</v>
      </c>
      <c r="B1014" s="42" t="s">
        <v>136</v>
      </c>
      <c r="C1014" s="42" t="s">
        <v>199</v>
      </c>
      <c r="D1014" s="42" t="s">
        <v>138</v>
      </c>
      <c r="E1014" s="42" t="s">
        <v>139</v>
      </c>
      <c r="F1014" s="42" t="s">
        <v>140</v>
      </c>
      <c r="G1014" s="42" t="s">
        <v>141</v>
      </c>
      <c r="H1014" s="42" t="s">
        <v>150</v>
      </c>
      <c r="I1014" s="42"/>
      <c r="J1014" s="45" t="s">
        <v>147</v>
      </c>
      <c r="K1014" s="42" t="s">
        <v>184</v>
      </c>
      <c r="L1014" s="42" t="s">
        <v>184</v>
      </c>
      <c r="M1014" s="44" t="s">
        <v>1354</v>
      </c>
    </row>
    <row r="1015" spans="1:13" x14ac:dyDescent="0.35">
      <c r="A1015" s="42">
        <v>1230</v>
      </c>
      <c r="B1015" s="42" t="s">
        <v>136</v>
      </c>
      <c r="C1015" s="42" t="s">
        <v>199</v>
      </c>
      <c r="D1015" s="42" t="s">
        <v>138</v>
      </c>
      <c r="E1015" s="42" t="s">
        <v>139</v>
      </c>
      <c r="F1015" s="42" t="s">
        <v>140</v>
      </c>
      <c r="G1015" s="42" t="s">
        <v>141</v>
      </c>
      <c r="H1015" s="42" t="s">
        <v>156</v>
      </c>
      <c r="I1015" s="42"/>
      <c r="J1015" s="43" t="s">
        <v>143</v>
      </c>
      <c r="K1015" s="42" t="s">
        <v>144</v>
      </c>
      <c r="L1015" s="42" t="s">
        <v>144</v>
      </c>
      <c r="M1015" s="44" t="s">
        <v>1355</v>
      </c>
    </row>
    <row r="1016" spans="1:13" x14ac:dyDescent="0.35">
      <c r="A1016" s="42">
        <v>1230</v>
      </c>
      <c r="B1016" s="42" t="s">
        <v>136</v>
      </c>
      <c r="C1016" s="42" t="s">
        <v>199</v>
      </c>
      <c r="D1016" s="42" t="s">
        <v>138</v>
      </c>
      <c r="E1016" s="42" t="s">
        <v>139</v>
      </c>
      <c r="F1016" s="42" t="s">
        <v>140</v>
      </c>
      <c r="G1016" s="42" t="s">
        <v>141</v>
      </c>
      <c r="H1016" s="42" t="s">
        <v>156</v>
      </c>
      <c r="I1016" s="42"/>
      <c r="J1016" s="43" t="s">
        <v>143</v>
      </c>
      <c r="K1016" s="42" t="s">
        <v>305</v>
      </c>
      <c r="L1016" s="42" t="s">
        <v>305</v>
      </c>
      <c r="M1016" s="44" t="s">
        <v>1356</v>
      </c>
    </row>
    <row r="1017" spans="1:13" x14ac:dyDescent="0.35">
      <c r="A1017" s="42">
        <v>1230</v>
      </c>
      <c r="B1017" s="42" t="s">
        <v>136</v>
      </c>
      <c r="C1017" s="42" t="s">
        <v>199</v>
      </c>
      <c r="D1017" s="42" t="s">
        <v>138</v>
      </c>
      <c r="E1017" s="42" t="s">
        <v>139</v>
      </c>
      <c r="F1017" s="42" t="s">
        <v>140</v>
      </c>
      <c r="G1017" s="42" t="s">
        <v>141</v>
      </c>
      <c r="H1017" s="42" t="s">
        <v>156</v>
      </c>
      <c r="I1017" s="42"/>
      <c r="J1017" s="43" t="s">
        <v>143</v>
      </c>
      <c r="K1017" s="42" t="s">
        <v>190</v>
      </c>
      <c r="L1017" s="42" t="s">
        <v>190</v>
      </c>
      <c r="M1017" s="44" t="s">
        <v>1357</v>
      </c>
    </row>
    <row r="1018" spans="1:13" x14ac:dyDescent="0.35">
      <c r="A1018" s="42">
        <v>1232</v>
      </c>
      <c r="B1018" s="42" t="s">
        <v>136</v>
      </c>
      <c r="C1018" s="42" t="s">
        <v>199</v>
      </c>
      <c r="D1018" s="42" t="s">
        <v>219</v>
      </c>
      <c r="E1018" s="42" t="s">
        <v>206</v>
      </c>
      <c r="F1018" s="42" t="s">
        <v>206</v>
      </c>
      <c r="G1018" s="42" t="s">
        <v>141</v>
      </c>
      <c r="H1018" s="42" t="s">
        <v>146</v>
      </c>
      <c r="I1018" s="42">
        <v>5</v>
      </c>
      <c r="J1018" s="43" t="s">
        <v>143</v>
      </c>
      <c r="K1018" s="42" t="s">
        <v>305</v>
      </c>
      <c r="L1018" s="42" t="s">
        <v>1358</v>
      </c>
      <c r="M1018" s="44" t="s">
        <v>1359</v>
      </c>
    </row>
    <row r="1019" spans="1:13" x14ac:dyDescent="0.35">
      <c r="A1019" s="42">
        <v>1232</v>
      </c>
      <c r="B1019" s="42" t="s">
        <v>136</v>
      </c>
      <c r="C1019" s="42" t="s">
        <v>199</v>
      </c>
      <c r="D1019" s="42" t="s">
        <v>219</v>
      </c>
      <c r="E1019" s="42" t="s">
        <v>206</v>
      </c>
      <c r="F1019" s="42" t="s">
        <v>206</v>
      </c>
      <c r="G1019" s="42" t="s">
        <v>141</v>
      </c>
      <c r="H1019" s="42" t="s">
        <v>150</v>
      </c>
      <c r="I1019" s="42"/>
      <c r="J1019" s="45" t="s">
        <v>147</v>
      </c>
      <c r="K1019" s="42" t="s">
        <v>144</v>
      </c>
      <c r="L1019" s="42" t="s">
        <v>144</v>
      </c>
      <c r="M1019" s="44" t="s">
        <v>1360</v>
      </c>
    </row>
    <row r="1020" spans="1:13" x14ac:dyDescent="0.35">
      <c r="A1020" s="42">
        <v>1232</v>
      </c>
      <c r="B1020" s="42" t="s">
        <v>136</v>
      </c>
      <c r="C1020" s="42" t="s">
        <v>199</v>
      </c>
      <c r="D1020" s="42" t="s">
        <v>219</v>
      </c>
      <c r="E1020" s="42" t="s">
        <v>206</v>
      </c>
      <c r="F1020" s="42" t="s">
        <v>206</v>
      </c>
      <c r="G1020" s="42" t="s">
        <v>141</v>
      </c>
      <c r="H1020" s="42" t="s">
        <v>150</v>
      </c>
      <c r="I1020" s="42"/>
      <c r="J1020" s="45" t="s">
        <v>147</v>
      </c>
      <c r="K1020" s="42" t="s">
        <v>190</v>
      </c>
      <c r="L1020" s="42" t="s">
        <v>190</v>
      </c>
      <c r="M1020" s="44" t="s">
        <v>1361</v>
      </c>
    </row>
    <row r="1021" spans="1:13" x14ac:dyDescent="0.35">
      <c r="A1021" s="42">
        <v>1232</v>
      </c>
      <c r="B1021" s="42" t="s">
        <v>136</v>
      </c>
      <c r="C1021" s="42" t="s">
        <v>199</v>
      </c>
      <c r="D1021" s="42" t="s">
        <v>219</v>
      </c>
      <c r="E1021" s="42" t="s">
        <v>206</v>
      </c>
      <c r="F1021" s="42" t="s">
        <v>206</v>
      </c>
      <c r="G1021" s="42" t="s">
        <v>141</v>
      </c>
      <c r="H1021" s="42" t="s">
        <v>150</v>
      </c>
      <c r="I1021" s="42"/>
      <c r="J1021" s="45" t="s">
        <v>147</v>
      </c>
      <c r="K1021" s="42" t="s">
        <v>268</v>
      </c>
      <c r="L1021" s="42" t="s">
        <v>268</v>
      </c>
      <c r="M1021" s="44" t="s">
        <v>1362</v>
      </c>
    </row>
    <row r="1022" spans="1:13" x14ac:dyDescent="0.35">
      <c r="A1022" s="42">
        <v>1232</v>
      </c>
      <c r="B1022" s="42" t="s">
        <v>136</v>
      </c>
      <c r="C1022" s="42" t="s">
        <v>199</v>
      </c>
      <c r="D1022" s="42" t="s">
        <v>219</v>
      </c>
      <c r="E1022" s="42" t="s">
        <v>206</v>
      </c>
      <c r="F1022" s="42" t="s">
        <v>206</v>
      </c>
      <c r="G1022" s="42" t="s">
        <v>141</v>
      </c>
      <c r="H1022" s="42" t="s">
        <v>156</v>
      </c>
      <c r="I1022" s="42"/>
      <c r="J1022" s="43" t="s">
        <v>143</v>
      </c>
      <c r="K1022" s="42" t="s">
        <v>144</v>
      </c>
      <c r="L1022" s="42" t="s">
        <v>144</v>
      </c>
      <c r="M1022" s="44" t="s">
        <v>1363</v>
      </c>
    </row>
    <row r="1023" spans="1:13" x14ac:dyDescent="0.35">
      <c r="A1023" s="42">
        <v>1232</v>
      </c>
      <c r="B1023" s="42" t="s">
        <v>136</v>
      </c>
      <c r="C1023" s="42" t="s">
        <v>199</v>
      </c>
      <c r="D1023" s="42" t="s">
        <v>219</v>
      </c>
      <c r="E1023" s="42" t="s">
        <v>206</v>
      </c>
      <c r="F1023" s="42" t="s">
        <v>206</v>
      </c>
      <c r="G1023" s="42" t="s">
        <v>141</v>
      </c>
      <c r="H1023" s="42" t="s">
        <v>156</v>
      </c>
      <c r="I1023" s="42"/>
      <c r="J1023" s="43" t="s">
        <v>143</v>
      </c>
      <c r="K1023" s="42" t="s">
        <v>144</v>
      </c>
      <c r="L1023" s="42" t="s">
        <v>144</v>
      </c>
      <c r="M1023" s="44" t="s">
        <v>1364</v>
      </c>
    </row>
    <row r="1024" spans="1:13" ht="25" x14ac:dyDescent="0.35">
      <c r="A1024" s="42">
        <v>1233</v>
      </c>
      <c r="B1024" s="42" t="s">
        <v>136</v>
      </c>
      <c r="C1024" s="42" t="s">
        <v>137</v>
      </c>
      <c r="D1024" s="42" t="s">
        <v>219</v>
      </c>
      <c r="E1024" s="42" t="s">
        <v>274</v>
      </c>
      <c r="F1024" s="42" t="s">
        <v>140</v>
      </c>
      <c r="G1024" s="42" t="s">
        <v>141</v>
      </c>
      <c r="H1024" s="42" t="s">
        <v>177</v>
      </c>
      <c r="I1024" s="42">
        <v>6</v>
      </c>
      <c r="J1024" s="43" t="s">
        <v>143</v>
      </c>
      <c r="K1024" s="42" t="s">
        <v>53</v>
      </c>
      <c r="L1024" s="42" t="s">
        <v>53</v>
      </c>
      <c r="M1024" s="44" t="s">
        <v>1365</v>
      </c>
    </row>
    <row r="1025" spans="1:13" ht="25" x14ac:dyDescent="0.35">
      <c r="A1025" s="42">
        <v>1233</v>
      </c>
      <c r="B1025" s="42" t="s">
        <v>136</v>
      </c>
      <c r="C1025" s="42" t="s">
        <v>137</v>
      </c>
      <c r="D1025" s="42" t="s">
        <v>219</v>
      </c>
      <c r="E1025" s="42" t="s">
        <v>274</v>
      </c>
      <c r="F1025" s="42" t="s">
        <v>140</v>
      </c>
      <c r="G1025" s="42" t="s">
        <v>141</v>
      </c>
      <c r="H1025" s="42" t="s">
        <v>146</v>
      </c>
      <c r="I1025" s="42">
        <v>8</v>
      </c>
      <c r="J1025" s="46" t="s">
        <v>222</v>
      </c>
      <c r="K1025" s="42" t="s">
        <v>484</v>
      </c>
      <c r="L1025" s="42" t="s">
        <v>772</v>
      </c>
      <c r="M1025" s="44" t="s">
        <v>1366</v>
      </c>
    </row>
    <row r="1026" spans="1:13" x14ac:dyDescent="0.35">
      <c r="A1026" s="42">
        <v>1233</v>
      </c>
      <c r="B1026" s="42" t="s">
        <v>136</v>
      </c>
      <c r="C1026" s="42" t="s">
        <v>137</v>
      </c>
      <c r="D1026" s="42" t="s">
        <v>219</v>
      </c>
      <c r="E1026" s="42" t="s">
        <v>274</v>
      </c>
      <c r="F1026" s="42" t="s">
        <v>140</v>
      </c>
      <c r="G1026" s="42" t="s">
        <v>141</v>
      </c>
      <c r="H1026" s="42" t="s">
        <v>150</v>
      </c>
      <c r="I1026" s="42"/>
      <c r="J1026" s="45" t="s">
        <v>147</v>
      </c>
      <c r="K1026" s="42" t="s">
        <v>181</v>
      </c>
      <c r="L1026" s="42" t="s">
        <v>397</v>
      </c>
      <c r="M1026" s="44" t="s">
        <v>1367</v>
      </c>
    </row>
    <row r="1027" spans="1:13" x14ac:dyDescent="0.35">
      <c r="A1027" s="42">
        <v>1233</v>
      </c>
      <c r="B1027" s="42" t="s">
        <v>136</v>
      </c>
      <c r="C1027" s="42" t="s">
        <v>137</v>
      </c>
      <c r="D1027" s="42" t="s">
        <v>219</v>
      </c>
      <c r="E1027" s="42" t="s">
        <v>274</v>
      </c>
      <c r="F1027" s="42" t="s">
        <v>140</v>
      </c>
      <c r="G1027" s="42" t="s">
        <v>141</v>
      </c>
      <c r="H1027" s="42" t="s">
        <v>150</v>
      </c>
      <c r="I1027" s="42"/>
      <c r="J1027" s="45" t="s">
        <v>147</v>
      </c>
      <c r="K1027" s="42" t="s">
        <v>210</v>
      </c>
      <c r="L1027" s="42" t="s">
        <v>210</v>
      </c>
      <c r="M1027" s="44" t="s">
        <v>1368</v>
      </c>
    </row>
    <row r="1028" spans="1:13" x14ac:dyDescent="0.35">
      <c r="A1028" s="42">
        <v>1233</v>
      </c>
      <c r="B1028" s="42" t="s">
        <v>136</v>
      </c>
      <c r="C1028" s="42" t="s">
        <v>137</v>
      </c>
      <c r="D1028" s="42" t="s">
        <v>219</v>
      </c>
      <c r="E1028" s="42" t="s">
        <v>274</v>
      </c>
      <c r="F1028" s="42" t="s">
        <v>140</v>
      </c>
      <c r="G1028" s="42" t="s">
        <v>141</v>
      </c>
      <c r="H1028" s="42" t="s">
        <v>150</v>
      </c>
      <c r="I1028" s="42"/>
      <c r="J1028" s="45" t="s">
        <v>147</v>
      </c>
      <c r="K1028" s="42" t="s">
        <v>262</v>
      </c>
      <c r="L1028" s="42" t="s">
        <v>263</v>
      </c>
      <c r="M1028" s="44" t="s">
        <v>1369</v>
      </c>
    </row>
    <row r="1029" spans="1:13" x14ac:dyDescent="0.35">
      <c r="A1029" s="42">
        <v>1233</v>
      </c>
      <c r="B1029" s="42" t="s">
        <v>136</v>
      </c>
      <c r="C1029" s="42" t="s">
        <v>137</v>
      </c>
      <c r="D1029" s="42" t="s">
        <v>219</v>
      </c>
      <c r="E1029" s="42" t="s">
        <v>274</v>
      </c>
      <c r="F1029" s="42" t="s">
        <v>140</v>
      </c>
      <c r="G1029" s="42" t="s">
        <v>141</v>
      </c>
      <c r="H1029" s="42" t="s">
        <v>156</v>
      </c>
      <c r="I1029" s="42"/>
      <c r="J1029" s="43" t="s">
        <v>143</v>
      </c>
      <c r="K1029" s="42" t="s">
        <v>196</v>
      </c>
      <c r="L1029" s="42" t="s">
        <v>201</v>
      </c>
      <c r="M1029" s="44" t="s">
        <v>1370</v>
      </c>
    </row>
    <row r="1030" spans="1:13" ht="25" x14ac:dyDescent="0.35">
      <c r="A1030" s="42">
        <v>1233</v>
      </c>
      <c r="B1030" s="42" t="s">
        <v>136</v>
      </c>
      <c r="C1030" s="42" t="s">
        <v>137</v>
      </c>
      <c r="D1030" s="42" t="s">
        <v>219</v>
      </c>
      <c r="E1030" s="42" t="s">
        <v>274</v>
      </c>
      <c r="F1030" s="42" t="s">
        <v>140</v>
      </c>
      <c r="G1030" s="42" t="s">
        <v>141</v>
      </c>
      <c r="H1030" s="42" t="s">
        <v>156</v>
      </c>
      <c r="I1030" s="42"/>
      <c r="J1030" s="43" t="s">
        <v>143</v>
      </c>
      <c r="K1030" s="42" t="s">
        <v>262</v>
      </c>
      <c r="L1030" s="42" t="s">
        <v>1371</v>
      </c>
      <c r="M1030" s="44" t="s">
        <v>1372</v>
      </c>
    </row>
    <row r="1031" spans="1:13" x14ac:dyDescent="0.35">
      <c r="A1031" s="42">
        <v>1233</v>
      </c>
      <c r="B1031" s="42" t="s">
        <v>136</v>
      </c>
      <c r="C1031" s="42" t="s">
        <v>137</v>
      </c>
      <c r="D1031" s="42" t="s">
        <v>219</v>
      </c>
      <c r="E1031" s="42" t="s">
        <v>274</v>
      </c>
      <c r="F1031" s="42" t="s">
        <v>140</v>
      </c>
      <c r="G1031" s="42" t="s">
        <v>141</v>
      </c>
      <c r="H1031" s="42" t="s">
        <v>156</v>
      </c>
      <c r="I1031" s="42"/>
      <c r="J1031" s="43" t="s">
        <v>143</v>
      </c>
      <c r="K1031" s="42" t="s">
        <v>196</v>
      </c>
      <c r="L1031" s="42" t="s">
        <v>217</v>
      </c>
      <c r="M1031" s="44" t="s">
        <v>1373</v>
      </c>
    </row>
    <row r="1032" spans="1:13" ht="25" x14ac:dyDescent="0.35">
      <c r="A1032" s="42">
        <v>793</v>
      </c>
      <c r="B1032" s="42" t="s">
        <v>136</v>
      </c>
      <c r="C1032" s="42" t="s">
        <v>137</v>
      </c>
      <c r="D1032" s="42" t="s">
        <v>159</v>
      </c>
      <c r="E1032" s="42" t="s">
        <v>160</v>
      </c>
      <c r="F1032" s="42" t="s">
        <v>160</v>
      </c>
      <c r="G1032" s="42" t="s">
        <v>141</v>
      </c>
      <c r="H1032" s="42" t="s">
        <v>163</v>
      </c>
      <c r="I1032" s="42"/>
      <c r="J1032" s="45" t="s">
        <v>147</v>
      </c>
      <c r="K1032" s="42" t="s">
        <v>144</v>
      </c>
      <c r="L1032" s="42" t="s">
        <v>1374</v>
      </c>
      <c r="M1032" s="44" t="s">
        <v>1375</v>
      </c>
    </row>
    <row r="1033" spans="1:13" x14ac:dyDescent="0.35">
      <c r="A1033" s="42">
        <v>793</v>
      </c>
      <c r="B1033" s="42" t="s">
        <v>136</v>
      </c>
      <c r="C1033" s="42" t="s">
        <v>137</v>
      </c>
      <c r="D1033" s="42" t="s">
        <v>159</v>
      </c>
      <c r="E1033" s="42" t="s">
        <v>160</v>
      </c>
      <c r="F1033" s="42" t="s">
        <v>160</v>
      </c>
      <c r="G1033" s="42" t="s">
        <v>141</v>
      </c>
      <c r="H1033" s="42" t="s">
        <v>146</v>
      </c>
      <c r="I1033" s="42">
        <v>10</v>
      </c>
      <c r="J1033" s="45" t="s">
        <v>147</v>
      </c>
      <c r="K1033" s="42" t="s">
        <v>196</v>
      </c>
      <c r="L1033" s="42" t="s">
        <v>614</v>
      </c>
      <c r="M1033" s="44" t="s">
        <v>1376</v>
      </c>
    </row>
    <row r="1034" spans="1:13" x14ac:dyDescent="0.35">
      <c r="A1034" s="42">
        <v>793</v>
      </c>
      <c r="B1034" s="42" t="s">
        <v>136</v>
      </c>
      <c r="C1034" s="42" t="s">
        <v>137</v>
      </c>
      <c r="D1034" s="42" t="s">
        <v>159</v>
      </c>
      <c r="E1034" s="42" t="s">
        <v>160</v>
      </c>
      <c r="F1034" s="42" t="s">
        <v>160</v>
      </c>
      <c r="G1034" s="42" t="s">
        <v>141</v>
      </c>
      <c r="H1034" s="42" t="s">
        <v>150</v>
      </c>
      <c r="I1034" s="42"/>
      <c r="J1034" s="45" t="s">
        <v>147</v>
      </c>
      <c r="K1034" s="42" t="s">
        <v>210</v>
      </c>
      <c r="L1034" s="42" t="s">
        <v>210</v>
      </c>
      <c r="M1034" s="44" t="s">
        <v>1377</v>
      </c>
    </row>
    <row r="1035" spans="1:13" x14ac:dyDescent="0.35">
      <c r="A1035" s="42">
        <v>793</v>
      </c>
      <c r="B1035" s="42" t="s">
        <v>136</v>
      </c>
      <c r="C1035" s="42" t="s">
        <v>137</v>
      </c>
      <c r="D1035" s="42" t="s">
        <v>159</v>
      </c>
      <c r="E1035" s="42" t="s">
        <v>160</v>
      </c>
      <c r="F1035" s="42" t="s">
        <v>160</v>
      </c>
      <c r="G1035" s="42" t="s">
        <v>141</v>
      </c>
      <c r="H1035" s="42" t="s">
        <v>150</v>
      </c>
      <c r="I1035" s="42"/>
      <c r="J1035" s="45" t="s">
        <v>147</v>
      </c>
      <c r="K1035" s="42" t="s">
        <v>268</v>
      </c>
      <c r="L1035" s="42" t="s">
        <v>268</v>
      </c>
      <c r="M1035" s="44" t="s">
        <v>269</v>
      </c>
    </row>
    <row r="1036" spans="1:13" x14ac:dyDescent="0.35">
      <c r="A1036" s="42">
        <v>793</v>
      </c>
      <c r="B1036" s="42" t="s">
        <v>136</v>
      </c>
      <c r="C1036" s="42" t="s">
        <v>137</v>
      </c>
      <c r="D1036" s="42" t="s">
        <v>159</v>
      </c>
      <c r="E1036" s="42" t="s">
        <v>160</v>
      </c>
      <c r="F1036" s="42" t="s">
        <v>160</v>
      </c>
      <c r="G1036" s="42" t="s">
        <v>141</v>
      </c>
      <c r="H1036" s="42" t="s">
        <v>150</v>
      </c>
      <c r="I1036" s="42"/>
      <c r="J1036" s="45" t="s">
        <v>147</v>
      </c>
      <c r="K1036" s="42" t="s">
        <v>210</v>
      </c>
      <c r="L1036" s="42" t="s">
        <v>210</v>
      </c>
      <c r="M1036" s="44" t="s">
        <v>1378</v>
      </c>
    </row>
    <row r="1037" spans="1:13" x14ac:dyDescent="0.35">
      <c r="A1037" s="42">
        <v>793</v>
      </c>
      <c r="B1037" s="42" t="s">
        <v>136</v>
      </c>
      <c r="C1037" s="42" t="s">
        <v>137</v>
      </c>
      <c r="D1037" s="42" t="s">
        <v>159</v>
      </c>
      <c r="E1037" s="42" t="s">
        <v>160</v>
      </c>
      <c r="F1037" s="42" t="s">
        <v>160</v>
      </c>
      <c r="G1037" s="42" t="s">
        <v>141</v>
      </c>
      <c r="H1037" s="42" t="s">
        <v>156</v>
      </c>
      <c r="I1037" s="42"/>
      <c r="J1037" s="43" t="s">
        <v>143</v>
      </c>
      <c r="K1037" s="42" t="s">
        <v>210</v>
      </c>
      <c r="L1037" s="42" t="s">
        <v>210</v>
      </c>
      <c r="M1037" s="44" t="s">
        <v>1379</v>
      </c>
    </row>
    <row r="1038" spans="1:13" ht="37.5" x14ac:dyDescent="0.35">
      <c r="A1038" s="42">
        <v>1242</v>
      </c>
      <c r="B1038" s="42" t="s">
        <v>175</v>
      </c>
      <c r="C1038" s="42" t="s">
        <v>199</v>
      </c>
      <c r="D1038" s="42" t="s">
        <v>159</v>
      </c>
      <c r="E1038" s="42" t="s">
        <v>274</v>
      </c>
      <c r="F1038" s="42" t="s">
        <v>140</v>
      </c>
      <c r="G1038" s="42" t="s">
        <v>141</v>
      </c>
      <c r="H1038" s="42" t="s">
        <v>146</v>
      </c>
      <c r="I1038" s="42">
        <v>8</v>
      </c>
      <c r="J1038" s="46" t="s">
        <v>222</v>
      </c>
      <c r="K1038" s="42" t="s">
        <v>181</v>
      </c>
      <c r="L1038" s="42" t="s">
        <v>1380</v>
      </c>
      <c r="M1038" s="44" t="s">
        <v>1381</v>
      </c>
    </row>
    <row r="1039" spans="1:13" x14ac:dyDescent="0.35">
      <c r="A1039" s="42">
        <v>1242</v>
      </c>
      <c r="B1039" s="42" t="s">
        <v>175</v>
      </c>
      <c r="C1039" s="42" t="s">
        <v>199</v>
      </c>
      <c r="D1039" s="42" t="s">
        <v>159</v>
      </c>
      <c r="E1039" s="42" t="s">
        <v>274</v>
      </c>
      <c r="F1039" s="42" t="s">
        <v>140</v>
      </c>
      <c r="G1039" s="42" t="s">
        <v>141</v>
      </c>
      <c r="H1039" s="42" t="s">
        <v>150</v>
      </c>
      <c r="I1039" s="42"/>
      <c r="J1039" s="45" t="s">
        <v>147</v>
      </c>
      <c r="K1039" s="42" t="s">
        <v>190</v>
      </c>
      <c r="L1039" s="42" t="s">
        <v>190</v>
      </c>
      <c r="M1039" s="44" t="s">
        <v>1382</v>
      </c>
    </row>
    <row r="1040" spans="1:13" ht="25" x14ac:dyDescent="0.35">
      <c r="A1040" s="42">
        <v>1245</v>
      </c>
      <c r="B1040" s="42" t="s">
        <v>136</v>
      </c>
      <c r="C1040" s="42" t="s">
        <v>199</v>
      </c>
      <c r="D1040" s="42" t="s">
        <v>176</v>
      </c>
      <c r="E1040" s="42" t="s">
        <v>206</v>
      </c>
      <c r="F1040" s="42" t="s">
        <v>206</v>
      </c>
      <c r="G1040" s="42" t="s">
        <v>200</v>
      </c>
      <c r="H1040" s="42" t="s">
        <v>177</v>
      </c>
      <c r="I1040" s="42">
        <v>2</v>
      </c>
      <c r="J1040" s="43" t="s">
        <v>143</v>
      </c>
      <c r="K1040" s="42" t="s">
        <v>50</v>
      </c>
      <c r="L1040" s="42" t="s">
        <v>1383</v>
      </c>
      <c r="M1040" s="44" t="s">
        <v>1384</v>
      </c>
    </row>
    <row r="1041" spans="1:13" x14ac:dyDescent="0.35">
      <c r="A1041" s="42">
        <v>1245</v>
      </c>
      <c r="B1041" s="42" t="s">
        <v>136</v>
      </c>
      <c r="C1041" s="42" t="s">
        <v>199</v>
      </c>
      <c r="D1041" s="42" t="s">
        <v>176</v>
      </c>
      <c r="E1041" s="42" t="s">
        <v>206</v>
      </c>
      <c r="F1041" s="42" t="s">
        <v>206</v>
      </c>
      <c r="G1041" s="42" t="s">
        <v>200</v>
      </c>
      <c r="H1041" s="42" t="s">
        <v>166</v>
      </c>
      <c r="I1041" s="42">
        <v>6</v>
      </c>
      <c r="J1041" s="43" t="s">
        <v>143</v>
      </c>
      <c r="K1041" s="42" t="s">
        <v>50</v>
      </c>
      <c r="L1041" s="42" t="s">
        <v>171</v>
      </c>
      <c r="M1041" s="44" t="s">
        <v>1385</v>
      </c>
    </row>
    <row r="1042" spans="1:13" ht="25" x14ac:dyDescent="0.35">
      <c r="A1042" s="42">
        <v>1245</v>
      </c>
      <c r="B1042" s="42" t="s">
        <v>136</v>
      </c>
      <c r="C1042" s="42" t="s">
        <v>199</v>
      </c>
      <c r="D1042" s="42" t="s">
        <v>176</v>
      </c>
      <c r="E1042" s="42" t="s">
        <v>206</v>
      </c>
      <c r="F1042" s="42" t="s">
        <v>206</v>
      </c>
      <c r="G1042" s="42" t="s">
        <v>200</v>
      </c>
      <c r="H1042" s="42" t="s">
        <v>180</v>
      </c>
      <c r="I1042" s="42">
        <v>3</v>
      </c>
      <c r="J1042" s="43" t="s">
        <v>143</v>
      </c>
      <c r="K1042" s="42" t="s">
        <v>190</v>
      </c>
      <c r="L1042" s="42" t="s">
        <v>190</v>
      </c>
      <c r="M1042" s="44" t="s">
        <v>1386</v>
      </c>
    </row>
    <row r="1043" spans="1:13" x14ac:dyDescent="0.35">
      <c r="A1043" s="42">
        <v>1245</v>
      </c>
      <c r="B1043" s="42" t="s">
        <v>136</v>
      </c>
      <c r="C1043" s="42" t="s">
        <v>199</v>
      </c>
      <c r="D1043" s="42" t="s">
        <v>176</v>
      </c>
      <c r="E1043" s="42" t="s">
        <v>206</v>
      </c>
      <c r="F1043" s="42" t="s">
        <v>206</v>
      </c>
      <c r="G1043" s="42" t="s">
        <v>200</v>
      </c>
      <c r="H1043" s="42" t="s">
        <v>146</v>
      </c>
      <c r="I1043" s="42">
        <v>6</v>
      </c>
      <c r="J1043" s="43" t="s">
        <v>143</v>
      </c>
      <c r="K1043" s="42" t="s">
        <v>210</v>
      </c>
      <c r="L1043" s="42" t="s">
        <v>210</v>
      </c>
      <c r="M1043" s="44" t="s">
        <v>1387</v>
      </c>
    </row>
    <row r="1044" spans="1:13" x14ac:dyDescent="0.35">
      <c r="A1044" s="42">
        <v>1245</v>
      </c>
      <c r="B1044" s="42" t="s">
        <v>136</v>
      </c>
      <c r="C1044" s="42" t="s">
        <v>199</v>
      </c>
      <c r="D1044" s="42" t="s">
        <v>176</v>
      </c>
      <c r="E1044" s="42" t="s">
        <v>206</v>
      </c>
      <c r="F1044" s="42" t="s">
        <v>206</v>
      </c>
      <c r="G1044" s="42" t="s">
        <v>200</v>
      </c>
      <c r="H1044" s="42" t="s">
        <v>150</v>
      </c>
      <c r="I1044" s="42"/>
      <c r="J1044" s="45" t="s">
        <v>147</v>
      </c>
      <c r="K1044" s="42" t="s">
        <v>78</v>
      </c>
      <c r="L1044" s="42" t="s">
        <v>78</v>
      </c>
      <c r="M1044" s="44" t="s">
        <v>1388</v>
      </c>
    </row>
    <row r="1045" spans="1:13" x14ac:dyDescent="0.35">
      <c r="A1045" s="42">
        <v>1245</v>
      </c>
      <c r="B1045" s="42" t="s">
        <v>136</v>
      </c>
      <c r="C1045" s="42" t="s">
        <v>199</v>
      </c>
      <c r="D1045" s="42" t="s">
        <v>176</v>
      </c>
      <c r="E1045" s="42" t="s">
        <v>206</v>
      </c>
      <c r="F1045" s="42" t="s">
        <v>206</v>
      </c>
      <c r="G1045" s="42" t="s">
        <v>200</v>
      </c>
      <c r="H1045" s="42" t="s">
        <v>150</v>
      </c>
      <c r="I1045" s="42"/>
      <c r="J1045" s="45" t="s">
        <v>147</v>
      </c>
      <c r="K1045" s="42" t="s">
        <v>210</v>
      </c>
      <c r="L1045" s="42" t="s">
        <v>210</v>
      </c>
      <c r="M1045" s="44" t="s">
        <v>1389</v>
      </c>
    </row>
    <row r="1046" spans="1:13" x14ac:dyDescent="0.35">
      <c r="A1046" s="42">
        <v>1245</v>
      </c>
      <c r="B1046" s="42" t="s">
        <v>136</v>
      </c>
      <c r="C1046" s="42" t="s">
        <v>199</v>
      </c>
      <c r="D1046" s="42" t="s">
        <v>176</v>
      </c>
      <c r="E1046" s="42" t="s">
        <v>206</v>
      </c>
      <c r="F1046" s="42" t="s">
        <v>206</v>
      </c>
      <c r="G1046" s="42" t="s">
        <v>200</v>
      </c>
      <c r="H1046" s="42" t="s">
        <v>150</v>
      </c>
      <c r="I1046" s="42"/>
      <c r="J1046" s="45" t="s">
        <v>147</v>
      </c>
      <c r="K1046" s="42" t="s">
        <v>210</v>
      </c>
      <c r="L1046" s="42" t="s">
        <v>210</v>
      </c>
      <c r="M1046" s="44" t="s">
        <v>1389</v>
      </c>
    </row>
    <row r="1047" spans="1:13" x14ac:dyDescent="0.35">
      <c r="A1047" s="42">
        <v>1245</v>
      </c>
      <c r="B1047" s="42" t="s">
        <v>136</v>
      </c>
      <c r="C1047" s="42" t="s">
        <v>199</v>
      </c>
      <c r="D1047" s="42" t="s">
        <v>176</v>
      </c>
      <c r="E1047" s="42" t="s">
        <v>206</v>
      </c>
      <c r="F1047" s="42" t="s">
        <v>206</v>
      </c>
      <c r="G1047" s="42" t="s">
        <v>200</v>
      </c>
      <c r="H1047" s="42" t="s">
        <v>156</v>
      </c>
      <c r="I1047" s="42"/>
      <c r="J1047" s="43" t="s">
        <v>143</v>
      </c>
      <c r="K1047" s="42" t="s">
        <v>196</v>
      </c>
      <c r="L1047" s="42" t="s">
        <v>196</v>
      </c>
      <c r="M1047" s="44" t="s">
        <v>1390</v>
      </c>
    </row>
    <row r="1048" spans="1:13" x14ac:dyDescent="0.35">
      <c r="A1048" s="42">
        <v>1245</v>
      </c>
      <c r="B1048" s="42" t="s">
        <v>136</v>
      </c>
      <c r="C1048" s="42" t="s">
        <v>199</v>
      </c>
      <c r="D1048" s="42" t="s">
        <v>176</v>
      </c>
      <c r="E1048" s="42" t="s">
        <v>206</v>
      </c>
      <c r="F1048" s="42" t="s">
        <v>206</v>
      </c>
      <c r="G1048" s="42" t="s">
        <v>200</v>
      </c>
      <c r="H1048" s="42" t="s">
        <v>156</v>
      </c>
      <c r="I1048" s="42"/>
      <c r="J1048" s="43" t="s">
        <v>143</v>
      </c>
      <c r="K1048" s="42" t="s">
        <v>210</v>
      </c>
      <c r="L1048" s="42" t="s">
        <v>210</v>
      </c>
      <c r="M1048" s="44" t="s">
        <v>1389</v>
      </c>
    </row>
    <row r="1049" spans="1:13" x14ac:dyDescent="0.35">
      <c r="A1049" s="42">
        <v>1245</v>
      </c>
      <c r="B1049" s="42" t="s">
        <v>136</v>
      </c>
      <c r="C1049" s="42" t="s">
        <v>199</v>
      </c>
      <c r="D1049" s="42" t="s">
        <v>176</v>
      </c>
      <c r="E1049" s="42" t="s">
        <v>206</v>
      </c>
      <c r="F1049" s="42" t="s">
        <v>206</v>
      </c>
      <c r="G1049" s="42" t="s">
        <v>200</v>
      </c>
      <c r="H1049" s="42" t="s">
        <v>156</v>
      </c>
      <c r="I1049" s="42"/>
      <c r="J1049" s="43" t="s">
        <v>143</v>
      </c>
      <c r="K1049" s="42" t="s">
        <v>210</v>
      </c>
      <c r="L1049" s="42" t="s">
        <v>210</v>
      </c>
      <c r="M1049" s="44" t="s">
        <v>1389</v>
      </c>
    </row>
    <row r="1050" spans="1:13" ht="37.5" x14ac:dyDescent="0.35">
      <c r="A1050" s="42">
        <v>1249</v>
      </c>
      <c r="B1050" s="42" t="s">
        <v>136</v>
      </c>
      <c r="C1050" s="42" t="s">
        <v>137</v>
      </c>
      <c r="D1050" s="42" t="s">
        <v>219</v>
      </c>
      <c r="E1050" s="42" t="s">
        <v>139</v>
      </c>
      <c r="F1050" s="42" t="s">
        <v>140</v>
      </c>
      <c r="G1050" s="42" t="s">
        <v>141</v>
      </c>
      <c r="H1050" s="42" t="s">
        <v>146</v>
      </c>
      <c r="I1050" s="42">
        <v>10</v>
      </c>
      <c r="J1050" s="45" t="s">
        <v>147</v>
      </c>
      <c r="K1050" s="42" t="s">
        <v>196</v>
      </c>
      <c r="L1050" s="42" t="s">
        <v>1391</v>
      </c>
      <c r="M1050" s="44" t="s">
        <v>1392</v>
      </c>
    </row>
    <row r="1051" spans="1:13" x14ac:dyDescent="0.35">
      <c r="A1051" s="42">
        <v>1249</v>
      </c>
      <c r="B1051" s="42" t="s">
        <v>136</v>
      </c>
      <c r="C1051" s="42" t="s">
        <v>137</v>
      </c>
      <c r="D1051" s="42" t="s">
        <v>219</v>
      </c>
      <c r="E1051" s="42" t="s">
        <v>139</v>
      </c>
      <c r="F1051" s="42" t="s">
        <v>140</v>
      </c>
      <c r="G1051" s="42" t="s">
        <v>141</v>
      </c>
      <c r="H1051" s="42" t="s">
        <v>150</v>
      </c>
      <c r="I1051" s="42"/>
      <c r="J1051" s="45" t="s">
        <v>147</v>
      </c>
      <c r="K1051" s="42" t="s">
        <v>78</v>
      </c>
      <c r="L1051" s="42" t="s">
        <v>78</v>
      </c>
      <c r="M1051" s="44" t="s">
        <v>1393</v>
      </c>
    </row>
    <row r="1052" spans="1:13" x14ac:dyDescent="0.35">
      <c r="A1052" s="42">
        <v>1249</v>
      </c>
      <c r="B1052" s="42" t="s">
        <v>136</v>
      </c>
      <c r="C1052" s="42" t="s">
        <v>137</v>
      </c>
      <c r="D1052" s="42" t="s">
        <v>219</v>
      </c>
      <c r="E1052" s="42" t="s">
        <v>139</v>
      </c>
      <c r="F1052" s="42" t="s">
        <v>140</v>
      </c>
      <c r="G1052" s="42" t="s">
        <v>141</v>
      </c>
      <c r="H1052" s="42" t="s">
        <v>150</v>
      </c>
      <c r="I1052" s="42"/>
      <c r="J1052" s="45" t="s">
        <v>147</v>
      </c>
      <c r="K1052" s="42" t="s">
        <v>210</v>
      </c>
      <c r="L1052" s="42" t="s">
        <v>210</v>
      </c>
      <c r="M1052" s="44" t="s">
        <v>1394</v>
      </c>
    </row>
    <row r="1053" spans="1:13" x14ac:dyDescent="0.35">
      <c r="A1053" s="42">
        <v>1249</v>
      </c>
      <c r="B1053" s="42" t="s">
        <v>136</v>
      </c>
      <c r="C1053" s="42" t="s">
        <v>137</v>
      </c>
      <c r="D1053" s="42" t="s">
        <v>219</v>
      </c>
      <c r="E1053" s="42" t="s">
        <v>139</v>
      </c>
      <c r="F1053" s="42" t="s">
        <v>140</v>
      </c>
      <c r="G1053" s="42" t="s">
        <v>141</v>
      </c>
      <c r="H1053" s="42" t="s">
        <v>150</v>
      </c>
      <c r="I1053" s="42"/>
      <c r="J1053" s="45" t="s">
        <v>147</v>
      </c>
      <c r="K1053" s="42" t="s">
        <v>210</v>
      </c>
      <c r="L1053" s="42" t="s">
        <v>210</v>
      </c>
      <c r="M1053" s="44" t="s">
        <v>1395</v>
      </c>
    </row>
    <row r="1054" spans="1:13" x14ac:dyDescent="0.35">
      <c r="A1054" s="42">
        <v>1249</v>
      </c>
      <c r="B1054" s="42" t="s">
        <v>136</v>
      </c>
      <c r="C1054" s="42" t="s">
        <v>137</v>
      </c>
      <c r="D1054" s="42" t="s">
        <v>219</v>
      </c>
      <c r="E1054" s="42" t="s">
        <v>139</v>
      </c>
      <c r="F1054" s="42" t="s">
        <v>140</v>
      </c>
      <c r="G1054" s="42" t="s">
        <v>141</v>
      </c>
      <c r="H1054" s="42" t="s">
        <v>156</v>
      </c>
      <c r="I1054" s="42"/>
      <c r="J1054" s="43" t="s">
        <v>143</v>
      </c>
      <c r="K1054" s="42" t="s">
        <v>84</v>
      </c>
      <c r="L1054" s="42" t="s">
        <v>401</v>
      </c>
      <c r="M1054" s="44" t="s">
        <v>1396</v>
      </c>
    </row>
    <row r="1055" spans="1:13" ht="37.5" x14ac:dyDescent="0.35">
      <c r="A1055" s="42">
        <v>808</v>
      </c>
      <c r="B1055" s="42" t="s">
        <v>136</v>
      </c>
      <c r="C1055" s="42" t="s">
        <v>199</v>
      </c>
      <c r="D1055" s="42" t="s">
        <v>159</v>
      </c>
      <c r="E1055" s="42" t="s">
        <v>160</v>
      </c>
      <c r="F1055" s="42" t="s">
        <v>160</v>
      </c>
      <c r="G1055" s="42" t="s">
        <v>141</v>
      </c>
      <c r="H1055" s="42" t="s">
        <v>183</v>
      </c>
      <c r="I1055" s="42">
        <v>6</v>
      </c>
      <c r="J1055" s="43" t="s">
        <v>143</v>
      </c>
      <c r="K1055" s="42" t="s">
        <v>184</v>
      </c>
      <c r="L1055" s="42" t="s">
        <v>1397</v>
      </c>
      <c r="M1055" s="44" t="s">
        <v>1398</v>
      </c>
    </row>
    <row r="1056" spans="1:13" x14ac:dyDescent="0.35">
      <c r="A1056" s="42">
        <v>808</v>
      </c>
      <c r="B1056" s="42" t="s">
        <v>136</v>
      </c>
      <c r="C1056" s="42" t="s">
        <v>199</v>
      </c>
      <c r="D1056" s="42" t="s">
        <v>159</v>
      </c>
      <c r="E1056" s="42" t="s">
        <v>160</v>
      </c>
      <c r="F1056" s="42" t="s">
        <v>160</v>
      </c>
      <c r="G1056" s="42" t="s">
        <v>141</v>
      </c>
      <c r="H1056" s="42" t="s">
        <v>146</v>
      </c>
      <c r="I1056" s="42">
        <v>10</v>
      </c>
      <c r="J1056" s="45" t="s">
        <v>147</v>
      </c>
      <c r="K1056" s="42" t="s">
        <v>210</v>
      </c>
      <c r="L1056" s="42" t="s">
        <v>210</v>
      </c>
      <c r="M1056" s="44" t="s">
        <v>1399</v>
      </c>
    </row>
    <row r="1057" spans="1:13" x14ac:dyDescent="0.35">
      <c r="A1057" s="42">
        <v>808</v>
      </c>
      <c r="B1057" s="42" t="s">
        <v>136</v>
      </c>
      <c r="C1057" s="42" t="s">
        <v>199</v>
      </c>
      <c r="D1057" s="42" t="s">
        <v>159</v>
      </c>
      <c r="E1057" s="42" t="s">
        <v>160</v>
      </c>
      <c r="F1057" s="42" t="s">
        <v>160</v>
      </c>
      <c r="G1057" s="42" t="s">
        <v>141</v>
      </c>
      <c r="H1057" s="42" t="s">
        <v>150</v>
      </c>
      <c r="I1057" s="42"/>
      <c r="J1057" s="45" t="s">
        <v>147</v>
      </c>
      <c r="K1057" s="42" t="s">
        <v>78</v>
      </c>
      <c r="L1057" s="42" t="s">
        <v>335</v>
      </c>
      <c r="M1057" s="44" t="s">
        <v>1400</v>
      </c>
    </row>
    <row r="1058" spans="1:13" x14ac:dyDescent="0.35">
      <c r="A1058" s="42">
        <v>808</v>
      </c>
      <c r="B1058" s="42" t="s">
        <v>136</v>
      </c>
      <c r="C1058" s="42" t="s">
        <v>199</v>
      </c>
      <c r="D1058" s="42" t="s">
        <v>159</v>
      </c>
      <c r="E1058" s="42" t="s">
        <v>160</v>
      </c>
      <c r="F1058" s="42" t="s">
        <v>160</v>
      </c>
      <c r="G1058" s="42" t="s">
        <v>141</v>
      </c>
      <c r="H1058" s="42" t="s">
        <v>150</v>
      </c>
      <c r="I1058" s="42"/>
      <c r="J1058" s="45" t="s">
        <v>147</v>
      </c>
      <c r="K1058" s="42" t="s">
        <v>78</v>
      </c>
      <c r="L1058" s="42" t="s">
        <v>78</v>
      </c>
      <c r="M1058" s="44" t="s">
        <v>1401</v>
      </c>
    </row>
    <row r="1059" spans="1:13" x14ac:dyDescent="0.35">
      <c r="A1059" s="42">
        <v>808</v>
      </c>
      <c r="B1059" s="42" t="s">
        <v>136</v>
      </c>
      <c r="C1059" s="42" t="s">
        <v>199</v>
      </c>
      <c r="D1059" s="42" t="s">
        <v>159</v>
      </c>
      <c r="E1059" s="42" t="s">
        <v>160</v>
      </c>
      <c r="F1059" s="42" t="s">
        <v>160</v>
      </c>
      <c r="G1059" s="42" t="s">
        <v>141</v>
      </c>
      <c r="H1059" s="42" t="s">
        <v>150</v>
      </c>
      <c r="I1059" s="42"/>
      <c r="J1059" s="45" t="s">
        <v>147</v>
      </c>
      <c r="K1059" s="42" t="s">
        <v>84</v>
      </c>
      <c r="L1059" s="42" t="s">
        <v>84</v>
      </c>
      <c r="M1059" s="44" t="s">
        <v>1402</v>
      </c>
    </row>
    <row r="1060" spans="1:13" x14ac:dyDescent="0.35">
      <c r="A1060" s="42">
        <v>808</v>
      </c>
      <c r="B1060" s="42" t="s">
        <v>136</v>
      </c>
      <c r="C1060" s="42" t="s">
        <v>199</v>
      </c>
      <c r="D1060" s="42" t="s">
        <v>159</v>
      </c>
      <c r="E1060" s="42" t="s">
        <v>160</v>
      </c>
      <c r="F1060" s="42" t="s">
        <v>160</v>
      </c>
      <c r="G1060" s="42" t="s">
        <v>141</v>
      </c>
      <c r="H1060" s="42" t="s">
        <v>156</v>
      </c>
      <c r="I1060" s="42"/>
      <c r="J1060" s="43" t="s">
        <v>143</v>
      </c>
      <c r="K1060" s="42" t="s">
        <v>187</v>
      </c>
      <c r="L1060" s="42" t="s">
        <v>187</v>
      </c>
      <c r="M1060" s="44" t="s">
        <v>1403</v>
      </c>
    </row>
    <row r="1061" spans="1:13" ht="25" x14ac:dyDescent="0.35">
      <c r="A1061" s="42">
        <v>808</v>
      </c>
      <c r="B1061" s="42" t="s">
        <v>136</v>
      </c>
      <c r="C1061" s="42" t="s">
        <v>199</v>
      </c>
      <c r="D1061" s="42" t="s">
        <v>159</v>
      </c>
      <c r="E1061" s="42" t="s">
        <v>160</v>
      </c>
      <c r="F1061" s="42" t="s">
        <v>160</v>
      </c>
      <c r="G1061" s="42" t="s">
        <v>141</v>
      </c>
      <c r="H1061" s="42" t="s">
        <v>156</v>
      </c>
      <c r="I1061" s="42"/>
      <c r="J1061" s="43" t="s">
        <v>143</v>
      </c>
      <c r="K1061" s="42" t="s">
        <v>196</v>
      </c>
      <c r="L1061" s="42" t="s">
        <v>1404</v>
      </c>
      <c r="M1061" s="44" t="s">
        <v>1405</v>
      </c>
    </row>
    <row r="1062" spans="1:13" x14ac:dyDescent="0.35">
      <c r="A1062" s="42">
        <v>1255</v>
      </c>
      <c r="B1062" s="42" t="s">
        <v>136</v>
      </c>
      <c r="C1062" s="42" t="s">
        <v>137</v>
      </c>
      <c r="D1062" s="42" t="s">
        <v>219</v>
      </c>
      <c r="E1062" s="42" t="s">
        <v>206</v>
      </c>
      <c r="F1062" s="42" t="s">
        <v>206</v>
      </c>
      <c r="G1062" s="42" t="s">
        <v>141</v>
      </c>
      <c r="H1062" s="42" t="s">
        <v>146</v>
      </c>
      <c r="I1062" s="42">
        <v>10</v>
      </c>
      <c r="J1062" s="45" t="s">
        <v>147</v>
      </c>
      <c r="K1062" s="42" t="s">
        <v>190</v>
      </c>
      <c r="L1062" s="42" t="s">
        <v>190</v>
      </c>
      <c r="M1062" s="44" t="s">
        <v>1406</v>
      </c>
    </row>
    <row r="1063" spans="1:13" ht="25" x14ac:dyDescent="0.35">
      <c r="A1063" s="42">
        <v>835</v>
      </c>
      <c r="B1063" s="42" t="s">
        <v>136</v>
      </c>
      <c r="C1063" s="42" t="s">
        <v>199</v>
      </c>
      <c r="D1063" s="42" t="s">
        <v>138</v>
      </c>
      <c r="E1063" s="42" t="s">
        <v>160</v>
      </c>
      <c r="F1063" s="42" t="s">
        <v>160</v>
      </c>
      <c r="G1063" s="42" t="s">
        <v>141</v>
      </c>
      <c r="H1063" s="42" t="s">
        <v>166</v>
      </c>
      <c r="I1063" s="42">
        <v>6</v>
      </c>
      <c r="J1063" s="43" t="s">
        <v>143</v>
      </c>
      <c r="K1063" s="42" t="s">
        <v>196</v>
      </c>
      <c r="L1063" s="42" t="s">
        <v>196</v>
      </c>
      <c r="M1063" s="44" t="s">
        <v>1407</v>
      </c>
    </row>
    <row r="1064" spans="1:13" x14ac:dyDescent="0.35">
      <c r="A1064" s="42">
        <v>835</v>
      </c>
      <c r="B1064" s="42" t="s">
        <v>136</v>
      </c>
      <c r="C1064" s="42" t="s">
        <v>199</v>
      </c>
      <c r="D1064" s="42" t="s">
        <v>138</v>
      </c>
      <c r="E1064" s="42" t="s">
        <v>160</v>
      </c>
      <c r="F1064" s="42" t="s">
        <v>160</v>
      </c>
      <c r="G1064" s="42" t="s">
        <v>141</v>
      </c>
      <c r="H1064" s="42" t="s">
        <v>146</v>
      </c>
      <c r="I1064" s="42">
        <v>10</v>
      </c>
      <c r="J1064" s="45" t="s">
        <v>147</v>
      </c>
      <c r="K1064" s="42" t="s">
        <v>181</v>
      </c>
      <c r="L1064" s="42" t="s">
        <v>181</v>
      </c>
      <c r="M1064" s="44" t="s">
        <v>1408</v>
      </c>
    </row>
    <row r="1065" spans="1:13" x14ac:dyDescent="0.35">
      <c r="A1065" s="42">
        <v>835</v>
      </c>
      <c r="B1065" s="42" t="s">
        <v>136</v>
      </c>
      <c r="C1065" s="42" t="s">
        <v>199</v>
      </c>
      <c r="D1065" s="42" t="s">
        <v>138</v>
      </c>
      <c r="E1065" s="42" t="s">
        <v>160</v>
      </c>
      <c r="F1065" s="42" t="s">
        <v>160</v>
      </c>
      <c r="G1065" s="42" t="s">
        <v>141</v>
      </c>
      <c r="H1065" s="42" t="s">
        <v>150</v>
      </c>
      <c r="I1065" s="42"/>
      <c r="J1065" s="45" t="s">
        <v>147</v>
      </c>
      <c r="K1065" s="42" t="s">
        <v>80</v>
      </c>
      <c r="L1065" s="42" t="s">
        <v>80</v>
      </c>
      <c r="M1065" s="44" t="s">
        <v>1409</v>
      </c>
    </row>
    <row r="1066" spans="1:13" x14ac:dyDescent="0.35">
      <c r="A1066" s="42">
        <v>835</v>
      </c>
      <c r="B1066" s="42" t="s">
        <v>136</v>
      </c>
      <c r="C1066" s="42" t="s">
        <v>199</v>
      </c>
      <c r="D1066" s="42" t="s">
        <v>138</v>
      </c>
      <c r="E1066" s="42" t="s">
        <v>160</v>
      </c>
      <c r="F1066" s="42" t="s">
        <v>160</v>
      </c>
      <c r="G1066" s="42" t="s">
        <v>141</v>
      </c>
      <c r="H1066" s="42" t="s">
        <v>150</v>
      </c>
      <c r="I1066" s="42"/>
      <c r="J1066" s="45" t="s">
        <v>147</v>
      </c>
      <c r="K1066" s="42" t="s">
        <v>78</v>
      </c>
      <c r="L1066" s="42" t="s">
        <v>78</v>
      </c>
      <c r="M1066" s="44" t="s">
        <v>248</v>
      </c>
    </row>
    <row r="1067" spans="1:13" x14ac:dyDescent="0.35">
      <c r="A1067" s="42">
        <v>835</v>
      </c>
      <c r="B1067" s="42" t="s">
        <v>136</v>
      </c>
      <c r="C1067" s="42" t="s">
        <v>199</v>
      </c>
      <c r="D1067" s="42" t="s">
        <v>138</v>
      </c>
      <c r="E1067" s="42" t="s">
        <v>160</v>
      </c>
      <c r="F1067" s="42" t="s">
        <v>160</v>
      </c>
      <c r="G1067" s="42" t="s">
        <v>141</v>
      </c>
      <c r="H1067" s="42" t="s">
        <v>150</v>
      </c>
      <c r="I1067" s="42"/>
      <c r="J1067" s="45" t="s">
        <v>147</v>
      </c>
      <c r="K1067" s="42" t="s">
        <v>144</v>
      </c>
      <c r="L1067" s="42" t="s">
        <v>144</v>
      </c>
      <c r="M1067" s="44" t="s">
        <v>215</v>
      </c>
    </row>
    <row r="1068" spans="1:13" x14ac:dyDescent="0.35">
      <c r="A1068" s="42">
        <v>835</v>
      </c>
      <c r="B1068" s="42" t="s">
        <v>136</v>
      </c>
      <c r="C1068" s="42" t="s">
        <v>199</v>
      </c>
      <c r="D1068" s="42" t="s">
        <v>138</v>
      </c>
      <c r="E1068" s="42" t="s">
        <v>160</v>
      </c>
      <c r="F1068" s="42" t="s">
        <v>160</v>
      </c>
      <c r="G1068" s="42" t="s">
        <v>141</v>
      </c>
      <c r="H1068" s="42" t="s">
        <v>156</v>
      </c>
      <c r="I1068" s="42"/>
      <c r="J1068" s="43" t="s">
        <v>143</v>
      </c>
      <c r="K1068" s="42" t="s">
        <v>210</v>
      </c>
      <c r="L1068" s="42" t="s">
        <v>210</v>
      </c>
      <c r="M1068" s="44" t="s">
        <v>1410</v>
      </c>
    </row>
    <row r="1069" spans="1:13" ht="25" x14ac:dyDescent="0.35">
      <c r="A1069" s="42">
        <v>836</v>
      </c>
      <c r="B1069" s="42" t="s">
        <v>136</v>
      </c>
      <c r="C1069" s="42" t="s">
        <v>137</v>
      </c>
      <c r="D1069" s="42" t="s">
        <v>176</v>
      </c>
      <c r="E1069" s="42" t="s">
        <v>160</v>
      </c>
      <c r="F1069" s="42" t="s">
        <v>160</v>
      </c>
      <c r="G1069" s="42" t="s">
        <v>141</v>
      </c>
      <c r="H1069" s="42" t="s">
        <v>166</v>
      </c>
      <c r="I1069" s="42">
        <v>5</v>
      </c>
      <c r="J1069" s="43" t="s">
        <v>143</v>
      </c>
      <c r="K1069" s="42" t="s">
        <v>50</v>
      </c>
      <c r="L1069" s="42" t="s">
        <v>1411</v>
      </c>
      <c r="M1069" s="44" t="s">
        <v>1412</v>
      </c>
    </row>
    <row r="1070" spans="1:13" ht="37.5" x14ac:dyDescent="0.35">
      <c r="A1070" s="42">
        <v>836</v>
      </c>
      <c r="B1070" s="42" t="s">
        <v>136</v>
      </c>
      <c r="C1070" s="42" t="s">
        <v>137</v>
      </c>
      <c r="D1070" s="42" t="s">
        <v>176</v>
      </c>
      <c r="E1070" s="42" t="s">
        <v>160</v>
      </c>
      <c r="F1070" s="42" t="s">
        <v>160</v>
      </c>
      <c r="G1070" s="42" t="s">
        <v>141</v>
      </c>
      <c r="H1070" s="42" t="s">
        <v>146</v>
      </c>
      <c r="I1070" s="42">
        <v>10</v>
      </c>
      <c r="J1070" s="45" t="s">
        <v>147</v>
      </c>
      <c r="K1070" s="42" t="s">
        <v>82</v>
      </c>
      <c r="L1070" s="42" t="s">
        <v>82</v>
      </c>
      <c r="M1070" s="44" t="s">
        <v>1413</v>
      </c>
    </row>
    <row r="1071" spans="1:13" x14ac:dyDescent="0.35">
      <c r="A1071" s="42">
        <v>836</v>
      </c>
      <c r="B1071" s="42" t="s">
        <v>136</v>
      </c>
      <c r="C1071" s="42" t="s">
        <v>137</v>
      </c>
      <c r="D1071" s="42" t="s">
        <v>176</v>
      </c>
      <c r="E1071" s="42" t="s">
        <v>160</v>
      </c>
      <c r="F1071" s="42" t="s">
        <v>160</v>
      </c>
      <c r="G1071" s="42" t="s">
        <v>141</v>
      </c>
      <c r="H1071" s="42" t="s">
        <v>150</v>
      </c>
      <c r="I1071" s="42"/>
      <c r="J1071" s="45" t="s">
        <v>147</v>
      </c>
      <c r="K1071" s="42" t="s">
        <v>181</v>
      </c>
      <c r="L1071" s="42" t="s">
        <v>181</v>
      </c>
      <c r="M1071" s="44" t="s">
        <v>1414</v>
      </c>
    </row>
    <row r="1072" spans="1:13" x14ac:dyDescent="0.35">
      <c r="A1072" s="42">
        <v>836</v>
      </c>
      <c r="B1072" s="42" t="s">
        <v>136</v>
      </c>
      <c r="C1072" s="42" t="s">
        <v>137</v>
      </c>
      <c r="D1072" s="42" t="s">
        <v>176</v>
      </c>
      <c r="E1072" s="42" t="s">
        <v>160</v>
      </c>
      <c r="F1072" s="42" t="s">
        <v>160</v>
      </c>
      <c r="G1072" s="42" t="s">
        <v>141</v>
      </c>
      <c r="H1072" s="42" t="s">
        <v>150</v>
      </c>
      <c r="I1072" s="42"/>
      <c r="J1072" s="45" t="s">
        <v>147</v>
      </c>
      <c r="K1072" s="42" t="s">
        <v>144</v>
      </c>
      <c r="L1072" s="42" t="s">
        <v>144</v>
      </c>
      <c r="M1072" s="44" t="s">
        <v>1415</v>
      </c>
    </row>
    <row r="1073" spans="1:13" x14ac:dyDescent="0.35">
      <c r="A1073" s="42">
        <v>836</v>
      </c>
      <c r="B1073" s="42" t="s">
        <v>136</v>
      </c>
      <c r="C1073" s="42" t="s">
        <v>137</v>
      </c>
      <c r="D1073" s="42" t="s">
        <v>176</v>
      </c>
      <c r="E1073" s="42" t="s">
        <v>160</v>
      </c>
      <c r="F1073" s="42" t="s">
        <v>160</v>
      </c>
      <c r="G1073" s="42" t="s">
        <v>141</v>
      </c>
      <c r="H1073" s="42" t="s">
        <v>150</v>
      </c>
      <c r="I1073" s="42"/>
      <c r="J1073" s="45" t="s">
        <v>147</v>
      </c>
      <c r="K1073" s="42" t="s">
        <v>262</v>
      </c>
      <c r="L1073" s="42" t="s">
        <v>262</v>
      </c>
      <c r="M1073" s="44" t="s">
        <v>1416</v>
      </c>
    </row>
    <row r="1074" spans="1:13" ht="37.5" x14ac:dyDescent="0.35">
      <c r="A1074" s="42">
        <v>836</v>
      </c>
      <c r="B1074" s="42" t="s">
        <v>136</v>
      </c>
      <c r="C1074" s="42" t="s">
        <v>137</v>
      </c>
      <c r="D1074" s="42" t="s">
        <v>176</v>
      </c>
      <c r="E1074" s="42" t="s">
        <v>160</v>
      </c>
      <c r="F1074" s="42" t="s">
        <v>160</v>
      </c>
      <c r="G1074" s="42" t="s">
        <v>141</v>
      </c>
      <c r="H1074" s="42" t="s">
        <v>156</v>
      </c>
      <c r="I1074" s="42"/>
      <c r="J1074" s="43" t="s">
        <v>143</v>
      </c>
      <c r="K1074" s="42" t="s">
        <v>184</v>
      </c>
      <c r="L1074" s="42" t="s">
        <v>1417</v>
      </c>
      <c r="M1074" s="44" t="s">
        <v>1418</v>
      </c>
    </row>
    <row r="1075" spans="1:13" ht="25" x14ac:dyDescent="0.35">
      <c r="A1075" s="42">
        <v>836</v>
      </c>
      <c r="B1075" s="42" t="s">
        <v>136</v>
      </c>
      <c r="C1075" s="42" t="s">
        <v>137</v>
      </c>
      <c r="D1075" s="42" t="s">
        <v>176</v>
      </c>
      <c r="E1075" s="42" t="s">
        <v>160</v>
      </c>
      <c r="F1075" s="42" t="s">
        <v>160</v>
      </c>
      <c r="G1075" s="42" t="s">
        <v>141</v>
      </c>
      <c r="H1075" s="42" t="s">
        <v>156</v>
      </c>
      <c r="I1075" s="42"/>
      <c r="J1075" s="43" t="s">
        <v>143</v>
      </c>
      <c r="K1075" s="42" t="s">
        <v>184</v>
      </c>
      <c r="L1075" s="42" t="s">
        <v>1419</v>
      </c>
      <c r="M1075" s="44" t="s">
        <v>1420</v>
      </c>
    </row>
    <row r="1076" spans="1:13" ht="25" x14ac:dyDescent="0.35">
      <c r="A1076" s="42">
        <v>836</v>
      </c>
      <c r="B1076" s="42" t="s">
        <v>136</v>
      </c>
      <c r="C1076" s="42" t="s">
        <v>137</v>
      </c>
      <c r="D1076" s="42" t="s">
        <v>176</v>
      </c>
      <c r="E1076" s="42" t="s">
        <v>160</v>
      </c>
      <c r="F1076" s="42" t="s">
        <v>160</v>
      </c>
      <c r="G1076" s="42" t="s">
        <v>141</v>
      </c>
      <c r="H1076" s="42" t="s">
        <v>156</v>
      </c>
      <c r="I1076" s="42"/>
      <c r="J1076" s="43" t="s">
        <v>143</v>
      </c>
      <c r="K1076" s="42" t="s">
        <v>184</v>
      </c>
      <c r="L1076" s="42" t="s">
        <v>1421</v>
      </c>
      <c r="M1076" s="44" t="s">
        <v>1422</v>
      </c>
    </row>
    <row r="1077" spans="1:13" ht="25" x14ac:dyDescent="0.35">
      <c r="A1077" s="42">
        <v>1262</v>
      </c>
      <c r="B1077" s="42" t="s">
        <v>136</v>
      </c>
      <c r="C1077" s="42" t="s">
        <v>137</v>
      </c>
      <c r="D1077" s="42" t="s">
        <v>159</v>
      </c>
      <c r="E1077" s="42" t="s">
        <v>139</v>
      </c>
      <c r="F1077" s="42" t="s">
        <v>140</v>
      </c>
      <c r="G1077" s="42" t="s">
        <v>141</v>
      </c>
      <c r="H1077" s="42" t="s">
        <v>177</v>
      </c>
      <c r="I1077" s="42">
        <v>6</v>
      </c>
      <c r="J1077" s="43" t="s">
        <v>143</v>
      </c>
      <c r="K1077" s="42" t="s">
        <v>196</v>
      </c>
      <c r="L1077" s="42" t="s">
        <v>252</v>
      </c>
      <c r="M1077" s="44" t="s">
        <v>1423</v>
      </c>
    </row>
    <row r="1078" spans="1:13" ht="25" x14ac:dyDescent="0.35">
      <c r="A1078" s="42">
        <v>1262</v>
      </c>
      <c r="B1078" s="42" t="s">
        <v>136</v>
      </c>
      <c r="C1078" s="42" t="s">
        <v>137</v>
      </c>
      <c r="D1078" s="42" t="s">
        <v>159</v>
      </c>
      <c r="E1078" s="42" t="s">
        <v>139</v>
      </c>
      <c r="F1078" s="42" t="s">
        <v>140</v>
      </c>
      <c r="G1078" s="42" t="s">
        <v>141</v>
      </c>
      <c r="H1078" s="42" t="s">
        <v>166</v>
      </c>
      <c r="I1078" s="42">
        <v>4</v>
      </c>
      <c r="J1078" s="43" t="s">
        <v>143</v>
      </c>
      <c r="K1078" s="42" t="s">
        <v>50</v>
      </c>
      <c r="L1078" s="42" t="s">
        <v>1424</v>
      </c>
      <c r="M1078" s="44" t="s">
        <v>1425</v>
      </c>
    </row>
    <row r="1079" spans="1:13" ht="37.5" x14ac:dyDescent="0.35">
      <c r="A1079" s="42">
        <v>1262</v>
      </c>
      <c r="B1079" s="42" t="s">
        <v>136</v>
      </c>
      <c r="C1079" s="42" t="s">
        <v>137</v>
      </c>
      <c r="D1079" s="42" t="s">
        <v>159</v>
      </c>
      <c r="E1079" s="42" t="s">
        <v>139</v>
      </c>
      <c r="F1079" s="42" t="s">
        <v>140</v>
      </c>
      <c r="G1079" s="42" t="s">
        <v>141</v>
      </c>
      <c r="H1079" s="42" t="s">
        <v>180</v>
      </c>
      <c r="I1079" s="42">
        <v>3</v>
      </c>
      <c r="J1079" s="43" t="s">
        <v>143</v>
      </c>
      <c r="K1079" s="42" t="s">
        <v>187</v>
      </c>
      <c r="L1079" s="42" t="s">
        <v>1426</v>
      </c>
      <c r="M1079" s="44" t="s">
        <v>1427</v>
      </c>
    </row>
    <row r="1080" spans="1:13" x14ac:dyDescent="0.35">
      <c r="A1080" s="42">
        <v>1262</v>
      </c>
      <c r="B1080" s="42" t="s">
        <v>136</v>
      </c>
      <c r="C1080" s="42" t="s">
        <v>137</v>
      </c>
      <c r="D1080" s="42" t="s">
        <v>159</v>
      </c>
      <c r="E1080" s="42" t="s">
        <v>139</v>
      </c>
      <c r="F1080" s="42" t="s">
        <v>140</v>
      </c>
      <c r="G1080" s="42" t="s">
        <v>141</v>
      </c>
      <c r="H1080" s="42" t="s">
        <v>146</v>
      </c>
      <c r="I1080" s="42">
        <v>3</v>
      </c>
      <c r="J1080" s="43" t="s">
        <v>143</v>
      </c>
      <c r="K1080" s="42" t="s">
        <v>187</v>
      </c>
      <c r="L1080" s="42" t="s">
        <v>364</v>
      </c>
      <c r="M1080" s="44" t="s">
        <v>1428</v>
      </c>
    </row>
    <row r="1081" spans="1:13" x14ac:dyDescent="0.35">
      <c r="A1081" s="42">
        <v>1262</v>
      </c>
      <c r="B1081" s="42" t="s">
        <v>136</v>
      </c>
      <c r="C1081" s="42" t="s">
        <v>137</v>
      </c>
      <c r="D1081" s="42" t="s">
        <v>159</v>
      </c>
      <c r="E1081" s="42" t="s">
        <v>139</v>
      </c>
      <c r="F1081" s="42" t="s">
        <v>140</v>
      </c>
      <c r="G1081" s="42" t="s">
        <v>141</v>
      </c>
      <c r="H1081" s="42" t="s">
        <v>150</v>
      </c>
      <c r="I1081" s="42"/>
      <c r="J1081" s="45" t="s">
        <v>147</v>
      </c>
      <c r="K1081" s="42" t="s">
        <v>196</v>
      </c>
      <c r="L1081" s="42" t="s">
        <v>962</v>
      </c>
      <c r="M1081" s="44" t="s">
        <v>1429</v>
      </c>
    </row>
    <row r="1082" spans="1:13" x14ac:dyDescent="0.35">
      <c r="A1082" s="42">
        <v>1262</v>
      </c>
      <c r="B1082" s="42" t="s">
        <v>136</v>
      </c>
      <c r="C1082" s="42" t="s">
        <v>137</v>
      </c>
      <c r="D1082" s="42" t="s">
        <v>159</v>
      </c>
      <c r="E1082" s="42" t="s">
        <v>139</v>
      </c>
      <c r="F1082" s="42" t="s">
        <v>140</v>
      </c>
      <c r="G1082" s="42" t="s">
        <v>141</v>
      </c>
      <c r="H1082" s="42" t="s">
        <v>150</v>
      </c>
      <c r="I1082" s="42"/>
      <c r="J1082" s="45" t="s">
        <v>147</v>
      </c>
      <c r="K1082" s="42" t="s">
        <v>210</v>
      </c>
      <c r="L1082" s="42" t="s">
        <v>210</v>
      </c>
      <c r="M1082" s="44" t="s">
        <v>1430</v>
      </c>
    </row>
    <row r="1083" spans="1:13" x14ac:dyDescent="0.35">
      <c r="A1083" s="42">
        <v>1262</v>
      </c>
      <c r="B1083" s="42" t="s">
        <v>136</v>
      </c>
      <c r="C1083" s="42" t="s">
        <v>137</v>
      </c>
      <c r="D1083" s="42" t="s">
        <v>159</v>
      </c>
      <c r="E1083" s="42" t="s">
        <v>139</v>
      </c>
      <c r="F1083" s="42" t="s">
        <v>140</v>
      </c>
      <c r="G1083" s="42" t="s">
        <v>141</v>
      </c>
      <c r="H1083" s="42" t="s">
        <v>150</v>
      </c>
      <c r="I1083" s="42"/>
      <c r="J1083" s="45" t="s">
        <v>147</v>
      </c>
      <c r="K1083" s="42" t="s">
        <v>210</v>
      </c>
      <c r="L1083" s="42" t="s">
        <v>210</v>
      </c>
      <c r="M1083" s="44" t="s">
        <v>1431</v>
      </c>
    </row>
    <row r="1084" spans="1:13" x14ac:dyDescent="0.35">
      <c r="A1084" s="42">
        <v>1262</v>
      </c>
      <c r="B1084" s="42" t="s">
        <v>136</v>
      </c>
      <c r="C1084" s="42" t="s">
        <v>137</v>
      </c>
      <c r="D1084" s="42" t="s">
        <v>159</v>
      </c>
      <c r="E1084" s="42" t="s">
        <v>139</v>
      </c>
      <c r="F1084" s="42" t="s">
        <v>140</v>
      </c>
      <c r="G1084" s="42" t="s">
        <v>141</v>
      </c>
      <c r="H1084" s="42" t="s">
        <v>156</v>
      </c>
      <c r="I1084" s="42"/>
      <c r="J1084" s="43" t="s">
        <v>143</v>
      </c>
      <c r="K1084" s="42" t="s">
        <v>84</v>
      </c>
      <c r="L1084" s="42" t="s">
        <v>84</v>
      </c>
      <c r="M1084" s="44" t="s">
        <v>1432</v>
      </c>
    </row>
    <row r="1085" spans="1:13" x14ac:dyDescent="0.35">
      <c r="A1085" s="42">
        <v>1262</v>
      </c>
      <c r="B1085" s="42" t="s">
        <v>136</v>
      </c>
      <c r="C1085" s="42" t="s">
        <v>137</v>
      </c>
      <c r="D1085" s="42" t="s">
        <v>159</v>
      </c>
      <c r="E1085" s="42" t="s">
        <v>139</v>
      </c>
      <c r="F1085" s="42" t="s">
        <v>140</v>
      </c>
      <c r="G1085" s="42" t="s">
        <v>141</v>
      </c>
      <c r="H1085" s="42" t="s">
        <v>156</v>
      </c>
      <c r="I1085" s="42"/>
      <c r="J1085" s="43" t="s">
        <v>143</v>
      </c>
      <c r="K1085" s="42" t="s">
        <v>210</v>
      </c>
      <c r="L1085" s="42" t="s">
        <v>210</v>
      </c>
      <c r="M1085" s="44" t="s">
        <v>1433</v>
      </c>
    </row>
    <row r="1086" spans="1:13" x14ac:dyDescent="0.35">
      <c r="A1086" s="42">
        <v>1266</v>
      </c>
      <c r="B1086" s="42" t="s">
        <v>136</v>
      </c>
      <c r="C1086" s="42" t="s">
        <v>199</v>
      </c>
      <c r="D1086" s="42" t="s">
        <v>159</v>
      </c>
      <c r="E1086" s="42" t="s">
        <v>139</v>
      </c>
      <c r="F1086" s="42" t="s">
        <v>140</v>
      </c>
      <c r="G1086" s="42" t="s">
        <v>141</v>
      </c>
      <c r="H1086" s="42" t="s">
        <v>180</v>
      </c>
      <c r="I1086" s="42">
        <v>2</v>
      </c>
      <c r="J1086" s="43" t="s">
        <v>143</v>
      </c>
      <c r="K1086" s="42" t="s">
        <v>196</v>
      </c>
      <c r="L1086" s="42" t="s">
        <v>196</v>
      </c>
      <c r="M1086" s="44" t="s">
        <v>1434</v>
      </c>
    </row>
    <row r="1087" spans="1:13" ht="25" x14ac:dyDescent="0.35">
      <c r="A1087" s="42">
        <v>1266</v>
      </c>
      <c r="B1087" s="42" t="s">
        <v>136</v>
      </c>
      <c r="C1087" s="42" t="s">
        <v>199</v>
      </c>
      <c r="D1087" s="42" t="s">
        <v>159</v>
      </c>
      <c r="E1087" s="42" t="s">
        <v>139</v>
      </c>
      <c r="F1087" s="42" t="s">
        <v>140</v>
      </c>
      <c r="G1087" s="42" t="s">
        <v>141</v>
      </c>
      <c r="H1087" s="42" t="s">
        <v>146</v>
      </c>
      <c r="I1087" s="42">
        <v>6</v>
      </c>
      <c r="J1087" s="43" t="s">
        <v>143</v>
      </c>
      <c r="K1087" s="42" t="s">
        <v>484</v>
      </c>
      <c r="L1087" s="42" t="s">
        <v>900</v>
      </c>
      <c r="M1087" s="44" t="s">
        <v>1435</v>
      </c>
    </row>
    <row r="1088" spans="1:13" x14ac:dyDescent="0.35">
      <c r="A1088" s="42">
        <v>1266</v>
      </c>
      <c r="B1088" s="42" t="s">
        <v>136</v>
      </c>
      <c r="C1088" s="42" t="s">
        <v>199</v>
      </c>
      <c r="D1088" s="42" t="s">
        <v>159</v>
      </c>
      <c r="E1088" s="42" t="s">
        <v>139</v>
      </c>
      <c r="F1088" s="42" t="s">
        <v>140</v>
      </c>
      <c r="G1088" s="42" t="s">
        <v>141</v>
      </c>
      <c r="H1088" s="42" t="s">
        <v>150</v>
      </c>
      <c r="I1088" s="42"/>
      <c r="J1088" s="45" t="s">
        <v>147</v>
      </c>
      <c r="K1088" s="42" t="s">
        <v>210</v>
      </c>
      <c r="L1088" s="42" t="s">
        <v>210</v>
      </c>
      <c r="M1088" s="44" t="s">
        <v>1436</v>
      </c>
    </row>
    <row r="1089" spans="1:13" x14ac:dyDescent="0.35">
      <c r="A1089" s="42">
        <v>1266</v>
      </c>
      <c r="B1089" s="42" t="s">
        <v>136</v>
      </c>
      <c r="C1089" s="42" t="s">
        <v>199</v>
      </c>
      <c r="D1089" s="42" t="s">
        <v>159</v>
      </c>
      <c r="E1089" s="42" t="s">
        <v>139</v>
      </c>
      <c r="F1089" s="42" t="s">
        <v>140</v>
      </c>
      <c r="G1089" s="42" t="s">
        <v>141</v>
      </c>
      <c r="H1089" s="42" t="s">
        <v>150</v>
      </c>
      <c r="I1089" s="42"/>
      <c r="J1089" s="45" t="s">
        <v>147</v>
      </c>
      <c r="K1089" s="42" t="s">
        <v>76</v>
      </c>
      <c r="L1089" s="42" t="s">
        <v>76</v>
      </c>
      <c r="M1089" s="44" t="s">
        <v>227</v>
      </c>
    </row>
    <row r="1090" spans="1:13" x14ac:dyDescent="0.35">
      <c r="A1090" s="42">
        <v>1266</v>
      </c>
      <c r="B1090" s="42" t="s">
        <v>136</v>
      </c>
      <c r="C1090" s="42" t="s">
        <v>199</v>
      </c>
      <c r="D1090" s="42" t="s">
        <v>159</v>
      </c>
      <c r="E1090" s="42" t="s">
        <v>139</v>
      </c>
      <c r="F1090" s="42" t="s">
        <v>140</v>
      </c>
      <c r="G1090" s="42" t="s">
        <v>141</v>
      </c>
      <c r="H1090" s="42" t="s">
        <v>150</v>
      </c>
      <c r="I1090" s="42"/>
      <c r="J1090" s="45" t="s">
        <v>147</v>
      </c>
      <c r="K1090" s="42" t="s">
        <v>210</v>
      </c>
      <c r="L1090" s="42" t="s">
        <v>210</v>
      </c>
      <c r="M1090" s="44" t="s">
        <v>1437</v>
      </c>
    </row>
    <row r="1091" spans="1:13" x14ac:dyDescent="0.35">
      <c r="A1091" s="42">
        <v>1266</v>
      </c>
      <c r="B1091" s="42" t="s">
        <v>136</v>
      </c>
      <c r="C1091" s="42" t="s">
        <v>199</v>
      </c>
      <c r="D1091" s="42" t="s">
        <v>159</v>
      </c>
      <c r="E1091" s="42" t="s">
        <v>139</v>
      </c>
      <c r="F1091" s="42" t="s">
        <v>140</v>
      </c>
      <c r="G1091" s="42" t="s">
        <v>141</v>
      </c>
      <c r="H1091" s="42" t="s">
        <v>156</v>
      </c>
      <c r="I1091" s="42"/>
      <c r="J1091" s="43" t="s">
        <v>143</v>
      </c>
      <c r="K1091" s="42" t="s">
        <v>190</v>
      </c>
      <c r="L1091" s="42" t="s">
        <v>190</v>
      </c>
      <c r="M1091" s="44" t="s">
        <v>438</v>
      </c>
    </row>
    <row r="1092" spans="1:13" x14ac:dyDescent="0.35">
      <c r="A1092" s="42">
        <v>1266</v>
      </c>
      <c r="B1092" s="42" t="s">
        <v>136</v>
      </c>
      <c r="C1092" s="42" t="s">
        <v>199</v>
      </c>
      <c r="D1092" s="42" t="s">
        <v>159</v>
      </c>
      <c r="E1092" s="42" t="s">
        <v>139</v>
      </c>
      <c r="F1092" s="42" t="s">
        <v>140</v>
      </c>
      <c r="G1092" s="42" t="s">
        <v>141</v>
      </c>
      <c r="H1092" s="42" t="s">
        <v>156</v>
      </c>
      <c r="I1092" s="42"/>
      <c r="J1092" s="43" t="s">
        <v>143</v>
      </c>
      <c r="K1092" s="42" t="s">
        <v>210</v>
      </c>
      <c r="L1092" s="42" t="s">
        <v>210</v>
      </c>
      <c r="M1092" s="44" t="s">
        <v>1438</v>
      </c>
    </row>
    <row r="1093" spans="1:13" x14ac:dyDescent="0.35">
      <c r="A1093" s="42">
        <v>1266</v>
      </c>
      <c r="B1093" s="42" t="s">
        <v>136</v>
      </c>
      <c r="C1093" s="42" t="s">
        <v>199</v>
      </c>
      <c r="D1093" s="42" t="s">
        <v>159</v>
      </c>
      <c r="E1093" s="42" t="s">
        <v>139</v>
      </c>
      <c r="F1093" s="42" t="s">
        <v>140</v>
      </c>
      <c r="G1093" s="42" t="s">
        <v>141</v>
      </c>
      <c r="H1093" s="42" t="s">
        <v>156</v>
      </c>
      <c r="I1093" s="42"/>
      <c r="J1093" s="43" t="s">
        <v>143</v>
      </c>
      <c r="K1093" s="42" t="s">
        <v>196</v>
      </c>
      <c r="L1093" s="42" t="s">
        <v>196</v>
      </c>
      <c r="M1093" s="44" t="s">
        <v>1439</v>
      </c>
    </row>
    <row r="1094" spans="1:13" ht="75" x14ac:dyDescent="0.35">
      <c r="A1094" s="42">
        <v>857</v>
      </c>
      <c r="B1094" s="42" t="s">
        <v>175</v>
      </c>
      <c r="C1094" s="42" t="s">
        <v>137</v>
      </c>
      <c r="D1094" s="42" t="s">
        <v>159</v>
      </c>
      <c r="E1094" s="42" t="s">
        <v>160</v>
      </c>
      <c r="F1094" s="42" t="s">
        <v>160</v>
      </c>
      <c r="G1094" s="42" t="s">
        <v>141</v>
      </c>
      <c r="H1094" s="42" t="s">
        <v>177</v>
      </c>
      <c r="I1094" s="42">
        <v>6</v>
      </c>
      <c r="J1094" s="43" t="s">
        <v>143</v>
      </c>
      <c r="K1094" s="42" t="s">
        <v>53</v>
      </c>
      <c r="L1094" s="42" t="s">
        <v>1440</v>
      </c>
      <c r="M1094" s="44" t="s">
        <v>1441</v>
      </c>
    </row>
    <row r="1095" spans="1:13" x14ac:dyDescent="0.35">
      <c r="A1095" s="42">
        <v>857</v>
      </c>
      <c r="B1095" s="42" t="s">
        <v>175</v>
      </c>
      <c r="C1095" s="42" t="s">
        <v>137</v>
      </c>
      <c r="D1095" s="42" t="s">
        <v>159</v>
      </c>
      <c r="E1095" s="42" t="s">
        <v>160</v>
      </c>
      <c r="F1095" s="42" t="s">
        <v>160</v>
      </c>
      <c r="G1095" s="42" t="s">
        <v>141</v>
      </c>
      <c r="H1095" s="42" t="s">
        <v>146</v>
      </c>
      <c r="I1095" s="42">
        <v>10</v>
      </c>
      <c r="J1095" s="45" t="s">
        <v>147</v>
      </c>
      <c r="K1095" s="42" t="s">
        <v>210</v>
      </c>
      <c r="L1095" s="42" t="s">
        <v>210</v>
      </c>
      <c r="M1095" s="44" t="s">
        <v>1442</v>
      </c>
    </row>
    <row r="1096" spans="1:13" x14ac:dyDescent="0.35">
      <c r="A1096" s="42">
        <v>857</v>
      </c>
      <c r="B1096" s="42" t="s">
        <v>175</v>
      </c>
      <c r="C1096" s="42" t="s">
        <v>137</v>
      </c>
      <c r="D1096" s="42" t="s">
        <v>159</v>
      </c>
      <c r="E1096" s="42" t="s">
        <v>160</v>
      </c>
      <c r="F1096" s="42" t="s">
        <v>160</v>
      </c>
      <c r="G1096" s="42" t="s">
        <v>141</v>
      </c>
      <c r="H1096" s="42" t="s">
        <v>150</v>
      </c>
      <c r="I1096" s="42"/>
      <c r="J1096" s="45" t="s">
        <v>147</v>
      </c>
      <c r="K1096" s="42" t="s">
        <v>196</v>
      </c>
      <c r="L1096" s="42" t="s">
        <v>217</v>
      </c>
      <c r="M1096" s="44" t="s">
        <v>1443</v>
      </c>
    </row>
    <row r="1097" spans="1:13" x14ac:dyDescent="0.35">
      <c r="A1097" s="42">
        <v>857</v>
      </c>
      <c r="B1097" s="42" t="s">
        <v>175</v>
      </c>
      <c r="C1097" s="42" t="s">
        <v>137</v>
      </c>
      <c r="D1097" s="42" t="s">
        <v>159</v>
      </c>
      <c r="E1097" s="42" t="s">
        <v>160</v>
      </c>
      <c r="F1097" s="42" t="s">
        <v>160</v>
      </c>
      <c r="G1097" s="42" t="s">
        <v>141</v>
      </c>
      <c r="H1097" s="42" t="s">
        <v>156</v>
      </c>
      <c r="I1097" s="42"/>
      <c r="J1097" s="43" t="s">
        <v>143</v>
      </c>
      <c r="K1097" s="42" t="s">
        <v>78</v>
      </c>
      <c r="L1097" s="42" t="s">
        <v>78</v>
      </c>
      <c r="M1097" s="44" t="s">
        <v>1444</v>
      </c>
    </row>
    <row r="1098" spans="1:13" x14ac:dyDescent="0.35">
      <c r="A1098" s="42">
        <v>1274</v>
      </c>
      <c r="B1098" s="42" t="s">
        <v>175</v>
      </c>
      <c r="C1098" s="42" t="s">
        <v>137</v>
      </c>
      <c r="D1098" s="42" t="s">
        <v>138</v>
      </c>
      <c r="E1098" s="42" t="s">
        <v>274</v>
      </c>
      <c r="F1098" s="42" t="s">
        <v>140</v>
      </c>
      <c r="G1098" s="42" t="s">
        <v>141</v>
      </c>
      <c r="H1098" s="42" t="s">
        <v>146</v>
      </c>
      <c r="I1098" s="42">
        <v>10</v>
      </c>
      <c r="J1098" s="45" t="s">
        <v>147</v>
      </c>
      <c r="K1098" s="42" t="s">
        <v>210</v>
      </c>
      <c r="L1098" s="42" t="s">
        <v>210</v>
      </c>
      <c r="M1098" s="44" t="s">
        <v>1445</v>
      </c>
    </row>
    <row r="1099" spans="1:13" x14ac:dyDescent="0.35">
      <c r="A1099" s="42">
        <v>1274</v>
      </c>
      <c r="B1099" s="42" t="s">
        <v>175</v>
      </c>
      <c r="C1099" s="42" t="s">
        <v>137</v>
      </c>
      <c r="D1099" s="42" t="s">
        <v>138</v>
      </c>
      <c r="E1099" s="42" t="s">
        <v>274</v>
      </c>
      <c r="F1099" s="42" t="s">
        <v>140</v>
      </c>
      <c r="G1099" s="42" t="s">
        <v>141</v>
      </c>
      <c r="H1099" s="42" t="s">
        <v>150</v>
      </c>
      <c r="I1099" s="42"/>
      <c r="J1099" s="45" t="s">
        <v>147</v>
      </c>
      <c r="K1099" s="42" t="s">
        <v>181</v>
      </c>
      <c r="L1099" s="42" t="s">
        <v>181</v>
      </c>
      <c r="M1099" s="44" t="s">
        <v>300</v>
      </c>
    </row>
    <row r="1100" spans="1:13" x14ac:dyDescent="0.35">
      <c r="A1100" s="42">
        <v>1274</v>
      </c>
      <c r="B1100" s="42" t="s">
        <v>175</v>
      </c>
      <c r="C1100" s="42" t="s">
        <v>137</v>
      </c>
      <c r="D1100" s="42" t="s">
        <v>138</v>
      </c>
      <c r="E1100" s="42" t="s">
        <v>274</v>
      </c>
      <c r="F1100" s="42" t="s">
        <v>140</v>
      </c>
      <c r="G1100" s="42" t="s">
        <v>141</v>
      </c>
      <c r="H1100" s="42" t="s">
        <v>150</v>
      </c>
      <c r="I1100" s="42"/>
      <c r="J1100" s="45" t="s">
        <v>147</v>
      </c>
      <c r="K1100" s="42" t="s">
        <v>268</v>
      </c>
      <c r="L1100" s="42" t="s">
        <v>268</v>
      </c>
      <c r="M1100" s="44" t="s">
        <v>353</v>
      </c>
    </row>
    <row r="1101" spans="1:13" x14ac:dyDescent="0.35">
      <c r="A1101" s="42">
        <v>1274</v>
      </c>
      <c r="B1101" s="42" t="s">
        <v>175</v>
      </c>
      <c r="C1101" s="42" t="s">
        <v>137</v>
      </c>
      <c r="D1101" s="42" t="s">
        <v>138</v>
      </c>
      <c r="E1101" s="42" t="s">
        <v>274</v>
      </c>
      <c r="F1101" s="42" t="s">
        <v>140</v>
      </c>
      <c r="G1101" s="42" t="s">
        <v>141</v>
      </c>
      <c r="H1101" s="42" t="s">
        <v>150</v>
      </c>
      <c r="I1101" s="42"/>
      <c r="J1101" s="45" t="s">
        <v>147</v>
      </c>
      <c r="K1101" s="42" t="s">
        <v>210</v>
      </c>
      <c r="L1101" s="42" t="s">
        <v>210</v>
      </c>
      <c r="M1101" s="44" t="s">
        <v>1446</v>
      </c>
    </row>
    <row r="1102" spans="1:13" x14ac:dyDescent="0.35">
      <c r="A1102" s="42">
        <v>1274</v>
      </c>
      <c r="B1102" s="42" t="s">
        <v>175</v>
      </c>
      <c r="C1102" s="42" t="s">
        <v>137</v>
      </c>
      <c r="D1102" s="42" t="s">
        <v>138</v>
      </c>
      <c r="E1102" s="42" t="s">
        <v>274</v>
      </c>
      <c r="F1102" s="42" t="s">
        <v>140</v>
      </c>
      <c r="G1102" s="42" t="s">
        <v>141</v>
      </c>
      <c r="H1102" s="42" t="s">
        <v>156</v>
      </c>
      <c r="I1102" s="42"/>
      <c r="J1102" s="43" t="s">
        <v>143</v>
      </c>
      <c r="K1102" s="42" t="s">
        <v>144</v>
      </c>
      <c r="L1102" s="42" t="s">
        <v>144</v>
      </c>
      <c r="M1102" s="44" t="s">
        <v>273</v>
      </c>
    </row>
    <row r="1103" spans="1:13" x14ac:dyDescent="0.35">
      <c r="A1103" s="42">
        <v>1274</v>
      </c>
      <c r="B1103" s="42" t="s">
        <v>175</v>
      </c>
      <c r="C1103" s="42" t="s">
        <v>137</v>
      </c>
      <c r="D1103" s="42" t="s">
        <v>138</v>
      </c>
      <c r="E1103" s="42" t="s">
        <v>274</v>
      </c>
      <c r="F1103" s="42" t="s">
        <v>140</v>
      </c>
      <c r="G1103" s="42" t="s">
        <v>141</v>
      </c>
      <c r="H1103" s="42" t="s">
        <v>156</v>
      </c>
      <c r="I1103" s="42"/>
      <c r="J1103" s="43" t="s">
        <v>143</v>
      </c>
      <c r="K1103" s="42" t="s">
        <v>196</v>
      </c>
      <c r="L1103" s="42" t="s">
        <v>962</v>
      </c>
      <c r="M1103" s="44" t="s">
        <v>1447</v>
      </c>
    </row>
    <row r="1104" spans="1:13" x14ac:dyDescent="0.35">
      <c r="A1104" s="42">
        <v>1274</v>
      </c>
      <c r="B1104" s="42" t="s">
        <v>175</v>
      </c>
      <c r="C1104" s="42" t="s">
        <v>137</v>
      </c>
      <c r="D1104" s="42" t="s">
        <v>138</v>
      </c>
      <c r="E1104" s="42" t="s">
        <v>274</v>
      </c>
      <c r="F1104" s="42" t="s">
        <v>140</v>
      </c>
      <c r="G1104" s="42" t="s">
        <v>141</v>
      </c>
      <c r="H1104" s="42" t="s">
        <v>156</v>
      </c>
      <c r="I1104" s="42"/>
      <c r="J1104" s="43" t="s">
        <v>143</v>
      </c>
      <c r="K1104" s="42" t="s">
        <v>210</v>
      </c>
      <c r="L1104" s="42" t="s">
        <v>210</v>
      </c>
      <c r="M1104" s="44" t="s">
        <v>1448</v>
      </c>
    </row>
    <row r="1105" spans="1:13" x14ac:dyDescent="0.35">
      <c r="A1105" s="42">
        <v>1277</v>
      </c>
      <c r="B1105" s="42" t="s">
        <v>136</v>
      </c>
      <c r="C1105" s="42" t="s">
        <v>137</v>
      </c>
      <c r="D1105" s="42" t="s">
        <v>159</v>
      </c>
      <c r="E1105" s="42" t="s">
        <v>274</v>
      </c>
      <c r="F1105" s="42" t="s">
        <v>140</v>
      </c>
      <c r="G1105" s="42" t="s">
        <v>141</v>
      </c>
      <c r="H1105" s="42" t="s">
        <v>163</v>
      </c>
      <c r="I1105" s="42"/>
      <c r="J1105" s="45" t="s">
        <v>147</v>
      </c>
      <c r="K1105" s="42" t="s">
        <v>144</v>
      </c>
      <c r="L1105" s="42" t="s">
        <v>144</v>
      </c>
      <c r="M1105" s="44" t="s">
        <v>1449</v>
      </c>
    </row>
    <row r="1106" spans="1:13" ht="25" x14ac:dyDescent="0.35">
      <c r="A1106" s="42">
        <v>1277</v>
      </c>
      <c r="B1106" s="42" t="s">
        <v>136</v>
      </c>
      <c r="C1106" s="42" t="s">
        <v>137</v>
      </c>
      <c r="D1106" s="42" t="s">
        <v>159</v>
      </c>
      <c r="E1106" s="42" t="s">
        <v>274</v>
      </c>
      <c r="F1106" s="42" t="s">
        <v>140</v>
      </c>
      <c r="G1106" s="42" t="s">
        <v>141</v>
      </c>
      <c r="H1106" s="42" t="s">
        <v>166</v>
      </c>
      <c r="I1106" s="42">
        <v>5</v>
      </c>
      <c r="J1106" s="43" t="s">
        <v>143</v>
      </c>
      <c r="K1106" s="42" t="s">
        <v>190</v>
      </c>
      <c r="L1106" s="42" t="s">
        <v>190</v>
      </c>
      <c r="M1106" s="44" t="s">
        <v>1450</v>
      </c>
    </row>
    <row r="1107" spans="1:13" x14ac:dyDescent="0.35">
      <c r="A1107" s="42">
        <v>1277</v>
      </c>
      <c r="B1107" s="42" t="s">
        <v>136</v>
      </c>
      <c r="C1107" s="42" t="s">
        <v>137</v>
      </c>
      <c r="D1107" s="42" t="s">
        <v>159</v>
      </c>
      <c r="E1107" s="42" t="s">
        <v>274</v>
      </c>
      <c r="F1107" s="42" t="s">
        <v>140</v>
      </c>
      <c r="G1107" s="42" t="s">
        <v>141</v>
      </c>
      <c r="H1107" s="42" t="s">
        <v>146</v>
      </c>
      <c r="I1107" s="42">
        <v>7</v>
      </c>
      <c r="J1107" s="46" t="s">
        <v>222</v>
      </c>
      <c r="K1107" s="42" t="s">
        <v>484</v>
      </c>
      <c r="L1107" s="42" t="s">
        <v>484</v>
      </c>
      <c r="M1107" s="44" t="s">
        <v>1451</v>
      </c>
    </row>
    <row r="1108" spans="1:13" x14ac:dyDescent="0.35">
      <c r="A1108" s="42">
        <v>1277</v>
      </c>
      <c r="B1108" s="42" t="s">
        <v>136</v>
      </c>
      <c r="C1108" s="42" t="s">
        <v>137</v>
      </c>
      <c r="D1108" s="42" t="s">
        <v>159</v>
      </c>
      <c r="E1108" s="42" t="s">
        <v>274</v>
      </c>
      <c r="F1108" s="42" t="s">
        <v>140</v>
      </c>
      <c r="G1108" s="42" t="s">
        <v>141</v>
      </c>
      <c r="H1108" s="42" t="s">
        <v>150</v>
      </c>
      <c r="I1108" s="42"/>
      <c r="J1108" s="45" t="s">
        <v>147</v>
      </c>
      <c r="K1108" s="42" t="s">
        <v>144</v>
      </c>
      <c r="L1108" s="42" t="s">
        <v>250</v>
      </c>
      <c r="M1108" s="44" t="s">
        <v>1452</v>
      </c>
    </row>
    <row r="1109" spans="1:13" x14ac:dyDescent="0.35">
      <c r="A1109" s="42">
        <v>1277</v>
      </c>
      <c r="B1109" s="42" t="s">
        <v>136</v>
      </c>
      <c r="C1109" s="42" t="s">
        <v>137</v>
      </c>
      <c r="D1109" s="42" t="s">
        <v>159</v>
      </c>
      <c r="E1109" s="42" t="s">
        <v>274</v>
      </c>
      <c r="F1109" s="42" t="s">
        <v>140</v>
      </c>
      <c r="G1109" s="42" t="s">
        <v>141</v>
      </c>
      <c r="H1109" s="42" t="s">
        <v>150</v>
      </c>
      <c r="I1109" s="42"/>
      <c r="J1109" s="45" t="s">
        <v>147</v>
      </c>
      <c r="K1109" s="42" t="s">
        <v>78</v>
      </c>
      <c r="L1109" s="42" t="s">
        <v>151</v>
      </c>
      <c r="M1109" s="44" t="s">
        <v>1453</v>
      </c>
    </row>
    <row r="1110" spans="1:13" x14ac:dyDescent="0.35">
      <c r="A1110" s="42">
        <v>1277</v>
      </c>
      <c r="B1110" s="42" t="s">
        <v>136</v>
      </c>
      <c r="C1110" s="42" t="s">
        <v>137</v>
      </c>
      <c r="D1110" s="42" t="s">
        <v>159</v>
      </c>
      <c r="E1110" s="42" t="s">
        <v>274</v>
      </c>
      <c r="F1110" s="42" t="s">
        <v>140</v>
      </c>
      <c r="G1110" s="42" t="s">
        <v>141</v>
      </c>
      <c r="H1110" s="42" t="s">
        <v>150</v>
      </c>
      <c r="I1110" s="42"/>
      <c r="J1110" s="45" t="s">
        <v>147</v>
      </c>
      <c r="K1110" s="42" t="s">
        <v>76</v>
      </c>
      <c r="L1110" s="42" t="s">
        <v>446</v>
      </c>
      <c r="M1110" s="44" t="s">
        <v>1454</v>
      </c>
    </row>
    <row r="1111" spans="1:13" x14ac:dyDescent="0.35">
      <c r="A1111" s="42">
        <v>1277</v>
      </c>
      <c r="B1111" s="42" t="s">
        <v>136</v>
      </c>
      <c r="C1111" s="42" t="s">
        <v>137</v>
      </c>
      <c r="D1111" s="42" t="s">
        <v>159</v>
      </c>
      <c r="E1111" s="42" t="s">
        <v>274</v>
      </c>
      <c r="F1111" s="42" t="s">
        <v>140</v>
      </c>
      <c r="G1111" s="42" t="s">
        <v>141</v>
      </c>
      <c r="H1111" s="42" t="s">
        <v>156</v>
      </c>
      <c r="I1111" s="42"/>
      <c r="J1111" s="43" t="s">
        <v>143</v>
      </c>
      <c r="K1111" s="42" t="s">
        <v>190</v>
      </c>
      <c r="L1111" s="42" t="s">
        <v>190</v>
      </c>
      <c r="M1111" s="44" t="s">
        <v>1455</v>
      </c>
    </row>
    <row r="1112" spans="1:13" x14ac:dyDescent="0.35">
      <c r="A1112" s="42">
        <v>1277</v>
      </c>
      <c r="B1112" s="42" t="s">
        <v>136</v>
      </c>
      <c r="C1112" s="42" t="s">
        <v>137</v>
      </c>
      <c r="D1112" s="42" t="s">
        <v>159</v>
      </c>
      <c r="E1112" s="42" t="s">
        <v>274</v>
      </c>
      <c r="F1112" s="42" t="s">
        <v>140</v>
      </c>
      <c r="G1112" s="42" t="s">
        <v>141</v>
      </c>
      <c r="H1112" s="42" t="s">
        <v>156</v>
      </c>
      <c r="I1112" s="42"/>
      <c r="J1112" s="43" t="s">
        <v>143</v>
      </c>
      <c r="K1112" s="42" t="s">
        <v>144</v>
      </c>
      <c r="L1112" s="42" t="s">
        <v>250</v>
      </c>
      <c r="M1112" s="44" t="s">
        <v>1456</v>
      </c>
    </row>
    <row r="1113" spans="1:13" x14ac:dyDescent="0.35">
      <c r="A1113" s="42">
        <v>872</v>
      </c>
      <c r="B1113" s="42" t="s">
        <v>136</v>
      </c>
      <c r="C1113" s="42" t="s">
        <v>199</v>
      </c>
      <c r="D1113" s="42" t="s">
        <v>159</v>
      </c>
      <c r="E1113" s="42" t="s">
        <v>160</v>
      </c>
      <c r="F1113" s="42" t="s">
        <v>160</v>
      </c>
      <c r="G1113" s="42" t="s">
        <v>141</v>
      </c>
      <c r="H1113" s="42" t="s">
        <v>146</v>
      </c>
      <c r="I1113" s="42">
        <v>10</v>
      </c>
      <c r="J1113" s="45" t="s">
        <v>147</v>
      </c>
      <c r="K1113" s="42" t="s">
        <v>78</v>
      </c>
      <c r="L1113" s="42" t="s">
        <v>335</v>
      </c>
      <c r="M1113" s="44" t="s">
        <v>1457</v>
      </c>
    </row>
    <row r="1114" spans="1:13" x14ac:dyDescent="0.35">
      <c r="A1114" s="42">
        <v>872</v>
      </c>
      <c r="B1114" s="42" t="s">
        <v>136</v>
      </c>
      <c r="C1114" s="42" t="s">
        <v>199</v>
      </c>
      <c r="D1114" s="42" t="s">
        <v>159</v>
      </c>
      <c r="E1114" s="42" t="s">
        <v>160</v>
      </c>
      <c r="F1114" s="42" t="s">
        <v>160</v>
      </c>
      <c r="G1114" s="42" t="s">
        <v>141</v>
      </c>
      <c r="H1114" s="42" t="s">
        <v>150</v>
      </c>
      <c r="I1114" s="42"/>
      <c r="J1114" s="45" t="s">
        <v>147</v>
      </c>
      <c r="K1114" s="42" t="s">
        <v>82</v>
      </c>
      <c r="L1114" s="42" t="s">
        <v>82</v>
      </c>
      <c r="M1114" s="44" t="s">
        <v>1458</v>
      </c>
    </row>
    <row r="1115" spans="1:13" x14ac:dyDescent="0.35">
      <c r="A1115" s="42">
        <v>872</v>
      </c>
      <c r="B1115" s="42" t="s">
        <v>136</v>
      </c>
      <c r="C1115" s="42" t="s">
        <v>199</v>
      </c>
      <c r="D1115" s="42" t="s">
        <v>159</v>
      </c>
      <c r="E1115" s="42" t="s">
        <v>160</v>
      </c>
      <c r="F1115" s="42" t="s">
        <v>160</v>
      </c>
      <c r="G1115" s="42" t="s">
        <v>141</v>
      </c>
      <c r="H1115" s="42" t="s">
        <v>150</v>
      </c>
      <c r="I1115" s="42"/>
      <c r="J1115" s="45" t="s">
        <v>147</v>
      </c>
      <c r="K1115" s="42" t="s">
        <v>190</v>
      </c>
      <c r="L1115" s="42" t="s">
        <v>190</v>
      </c>
      <c r="M1115" s="44" t="s">
        <v>1459</v>
      </c>
    </row>
    <row r="1116" spans="1:13" x14ac:dyDescent="0.35">
      <c r="A1116" s="42">
        <v>872</v>
      </c>
      <c r="B1116" s="42" t="s">
        <v>136</v>
      </c>
      <c r="C1116" s="42" t="s">
        <v>199</v>
      </c>
      <c r="D1116" s="42" t="s">
        <v>159</v>
      </c>
      <c r="E1116" s="42" t="s">
        <v>160</v>
      </c>
      <c r="F1116" s="42" t="s">
        <v>160</v>
      </c>
      <c r="G1116" s="42" t="s">
        <v>141</v>
      </c>
      <c r="H1116" s="42" t="s">
        <v>150</v>
      </c>
      <c r="I1116" s="42"/>
      <c r="J1116" s="45" t="s">
        <v>147</v>
      </c>
      <c r="K1116" s="42" t="s">
        <v>78</v>
      </c>
      <c r="L1116" s="42" t="s">
        <v>335</v>
      </c>
      <c r="M1116" s="44" t="s">
        <v>1460</v>
      </c>
    </row>
    <row r="1117" spans="1:13" x14ac:dyDescent="0.35">
      <c r="A1117" s="42">
        <v>872</v>
      </c>
      <c r="B1117" s="42" t="s">
        <v>136</v>
      </c>
      <c r="C1117" s="42" t="s">
        <v>199</v>
      </c>
      <c r="D1117" s="42" t="s">
        <v>159</v>
      </c>
      <c r="E1117" s="42" t="s">
        <v>160</v>
      </c>
      <c r="F1117" s="42" t="s">
        <v>160</v>
      </c>
      <c r="G1117" s="42" t="s">
        <v>141</v>
      </c>
      <c r="H1117" s="42" t="s">
        <v>156</v>
      </c>
      <c r="I1117" s="42"/>
      <c r="J1117" s="43" t="s">
        <v>143</v>
      </c>
      <c r="K1117" s="42" t="s">
        <v>196</v>
      </c>
      <c r="L1117" s="42" t="s">
        <v>1461</v>
      </c>
      <c r="M1117" s="44" t="s">
        <v>1462</v>
      </c>
    </row>
    <row r="1118" spans="1:13" x14ac:dyDescent="0.35">
      <c r="A1118" s="42">
        <v>872</v>
      </c>
      <c r="B1118" s="42" t="s">
        <v>136</v>
      </c>
      <c r="C1118" s="42" t="s">
        <v>199</v>
      </c>
      <c r="D1118" s="42" t="s">
        <v>159</v>
      </c>
      <c r="E1118" s="42" t="s">
        <v>160</v>
      </c>
      <c r="F1118" s="42" t="s">
        <v>160</v>
      </c>
      <c r="G1118" s="42" t="s">
        <v>141</v>
      </c>
      <c r="H1118" s="42" t="s">
        <v>156</v>
      </c>
      <c r="I1118" s="42"/>
      <c r="J1118" s="43" t="s">
        <v>143</v>
      </c>
      <c r="K1118" s="42" t="s">
        <v>196</v>
      </c>
      <c r="L1118" s="42" t="s">
        <v>196</v>
      </c>
      <c r="M1118" s="44" t="s">
        <v>1463</v>
      </c>
    </row>
    <row r="1119" spans="1:13" x14ac:dyDescent="0.35">
      <c r="A1119" s="42">
        <v>1279</v>
      </c>
      <c r="B1119" s="42" t="s">
        <v>136</v>
      </c>
      <c r="C1119" s="42" t="s">
        <v>137</v>
      </c>
      <c r="D1119" s="42" t="s">
        <v>176</v>
      </c>
      <c r="E1119" s="42" t="s">
        <v>206</v>
      </c>
      <c r="F1119" s="42" t="s">
        <v>206</v>
      </c>
      <c r="G1119" s="42" t="s">
        <v>141</v>
      </c>
      <c r="H1119" s="42" t="s">
        <v>386</v>
      </c>
      <c r="I1119" s="42">
        <v>2</v>
      </c>
      <c r="J1119" s="43" t="s">
        <v>143</v>
      </c>
      <c r="K1119" s="42" t="s">
        <v>76</v>
      </c>
      <c r="L1119" s="42" t="s">
        <v>1464</v>
      </c>
      <c r="M1119" s="44" t="s">
        <v>1465</v>
      </c>
    </row>
    <row r="1120" spans="1:13" x14ac:dyDescent="0.35">
      <c r="A1120" s="42">
        <v>1279</v>
      </c>
      <c r="B1120" s="42" t="s">
        <v>136</v>
      </c>
      <c r="C1120" s="42" t="s">
        <v>137</v>
      </c>
      <c r="D1120" s="42" t="s">
        <v>176</v>
      </c>
      <c r="E1120" s="42" t="s">
        <v>206</v>
      </c>
      <c r="F1120" s="42" t="s">
        <v>206</v>
      </c>
      <c r="G1120" s="42" t="s">
        <v>141</v>
      </c>
      <c r="H1120" s="42" t="s">
        <v>163</v>
      </c>
      <c r="I1120" s="42"/>
      <c r="J1120" s="43" t="s">
        <v>143</v>
      </c>
      <c r="K1120" s="42" t="s">
        <v>144</v>
      </c>
      <c r="L1120" s="42" t="s">
        <v>612</v>
      </c>
      <c r="M1120" s="44" t="s">
        <v>1466</v>
      </c>
    </row>
    <row r="1121" spans="1:13" ht="25" x14ac:dyDescent="0.35">
      <c r="A1121" s="42">
        <v>1279</v>
      </c>
      <c r="B1121" s="42" t="s">
        <v>136</v>
      </c>
      <c r="C1121" s="42" t="s">
        <v>137</v>
      </c>
      <c r="D1121" s="42" t="s">
        <v>176</v>
      </c>
      <c r="E1121" s="42" t="s">
        <v>206</v>
      </c>
      <c r="F1121" s="42" t="s">
        <v>206</v>
      </c>
      <c r="G1121" s="42" t="s">
        <v>141</v>
      </c>
      <c r="H1121" s="42" t="s">
        <v>166</v>
      </c>
      <c r="I1121" s="42">
        <v>3</v>
      </c>
      <c r="J1121" s="43" t="s">
        <v>143</v>
      </c>
      <c r="K1121" s="42" t="s">
        <v>181</v>
      </c>
      <c r="L1121" s="42" t="s">
        <v>1150</v>
      </c>
      <c r="M1121" s="44" t="s">
        <v>1467</v>
      </c>
    </row>
    <row r="1122" spans="1:13" x14ac:dyDescent="0.35">
      <c r="A1122" s="42">
        <v>1279</v>
      </c>
      <c r="B1122" s="42" t="s">
        <v>136</v>
      </c>
      <c r="C1122" s="42" t="s">
        <v>137</v>
      </c>
      <c r="D1122" s="42" t="s">
        <v>176</v>
      </c>
      <c r="E1122" s="42" t="s">
        <v>206</v>
      </c>
      <c r="F1122" s="42" t="s">
        <v>206</v>
      </c>
      <c r="G1122" s="42" t="s">
        <v>141</v>
      </c>
      <c r="H1122" s="42" t="s">
        <v>183</v>
      </c>
      <c r="I1122" s="42">
        <v>5</v>
      </c>
      <c r="J1122" s="43" t="s">
        <v>143</v>
      </c>
      <c r="K1122" s="42" t="s">
        <v>210</v>
      </c>
      <c r="L1122" s="42" t="s">
        <v>210</v>
      </c>
      <c r="M1122" s="44" t="s">
        <v>1468</v>
      </c>
    </row>
    <row r="1123" spans="1:13" x14ac:dyDescent="0.35">
      <c r="A1123" s="42">
        <v>1279</v>
      </c>
      <c r="B1123" s="42" t="s">
        <v>136</v>
      </c>
      <c r="C1123" s="42" t="s">
        <v>137</v>
      </c>
      <c r="D1123" s="42" t="s">
        <v>176</v>
      </c>
      <c r="E1123" s="42" t="s">
        <v>206</v>
      </c>
      <c r="F1123" s="42" t="s">
        <v>206</v>
      </c>
      <c r="G1123" s="42" t="s">
        <v>141</v>
      </c>
      <c r="H1123" s="42" t="s">
        <v>146</v>
      </c>
      <c r="I1123" s="42">
        <v>6</v>
      </c>
      <c r="J1123" s="43" t="s">
        <v>143</v>
      </c>
      <c r="K1123" s="42" t="s">
        <v>210</v>
      </c>
      <c r="L1123" s="42" t="s">
        <v>210</v>
      </c>
      <c r="M1123" s="44" t="s">
        <v>1469</v>
      </c>
    </row>
    <row r="1124" spans="1:13" x14ac:dyDescent="0.35">
      <c r="A1124" s="42">
        <v>1279</v>
      </c>
      <c r="B1124" s="42" t="s">
        <v>136</v>
      </c>
      <c r="C1124" s="42" t="s">
        <v>137</v>
      </c>
      <c r="D1124" s="42" t="s">
        <v>176</v>
      </c>
      <c r="E1124" s="42" t="s">
        <v>206</v>
      </c>
      <c r="F1124" s="42" t="s">
        <v>206</v>
      </c>
      <c r="G1124" s="42" t="s">
        <v>141</v>
      </c>
      <c r="H1124" s="42" t="s">
        <v>150</v>
      </c>
      <c r="I1124" s="42"/>
      <c r="J1124" s="45" t="s">
        <v>147</v>
      </c>
      <c r="K1124" s="42" t="s">
        <v>80</v>
      </c>
      <c r="L1124" s="42" t="s">
        <v>80</v>
      </c>
      <c r="M1124" s="44" t="s">
        <v>1470</v>
      </c>
    </row>
    <row r="1125" spans="1:13" x14ac:dyDescent="0.35">
      <c r="A1125" s="42">
        <v>1279</v>
      </c>
      <c r="B1125" s="42" t="s">
        <v>136</v>
      </c>
      <c r="C1125" s="42" t="s">
        <v>137</v>
      </c>
      <c r="D1125" s="42" t="s">
        <v>176</v>
      </c>
      <c r="E1125" s="42" t="s">
        <v>206</v>
      </c>
      <c r="F1125" s="42" t="s">
        <v>206</v>
      </c>
      <c r="G1125" s="42" t="s">
        <v>141</v>
      </c>
      <c r="H1125" s="42" t="s">
        <v>150</v>
      </c>
      <c r="I1125" s="42"/>
      <c r="J1125" s="45" t="s">
        <v>147</v>
      </c>
      <c r="K1125" s="42" t="s">
        <v>82</v>
      </c>
      <c r="L1125" s="42" t="s">
        <v>82</v>
      </c>
      <c r="M1125" s="44" t="s">
        <v>1471</v>
      </c>
    </row>
    <row r="1126" spans="1:13" x14ac:dyDescent="0.35">
      <c r="A1126" s="42">
        <v>1279</v>
      </c>
      <c r="B1126" s="42" t="s">
        <v>136</v>
      </c>
      <c r="C1126" s="42" t="s">
        <v>137</v>
      </c>
      <c r="D1126" s="42" t="s">
        <v>176</v>
      </c>
      <c r="E1126" s="42" t="s">
        <v>206</v>
      </c>
      <c r="F1126" s="42" t="s">
        <v>206</v>
      </c>
      <c r="G1126" s="42" t="s">
        <v>141</v>
      </c>
      <c r="H1126" s="42" t="s">
        <v>150</v>
      </c>
      <c r="I1126" s="42"/>
      <c r="J1126" s="45" t="s">
        <v>147</v>
      </c>
      <c r="K1126" s="42" t="s">
        <v>268</v>
      </c>
      <c r="L1126" s="42" t="s">
        <v>268</v>
      </c>
      <c r="M1126" s="44" t="s">
        <v>1472</v>
      </c>
    </row>
    <row r="1127" spans="1:13" x14ac:dyDescent="0.35">
      <c r="A1127" s="42">
        <v>1279</v>
      </c>
      <c r="B1127" s="42" t="s">
        <v>136</v>
      </c>
      <c r="C1127" s="42" t="s">
        <v>137</v>
      </c>
      <c r="D1127" s="42" t="s">
        <v>176</v>
      </c>
      <c r="E1127" s="42" t="s">
        <v>206</v>
      </c>
      <c r="F1127" s="42" t="s">
        <v>206</v>
      </c>
      <c r="G1127" s="42" t="s">
        <v>141</v>
      </c>
      <c r="H1127" s="42" t="s">
        <v>156</v>
      </c>
      <c r="I1127" s="42"/>
      <c r="J1127" s="43" t="s">
        <v>143</v>
      </c>
      <c r="K1127" s="42" t="s">
        <v>50</v>
      </c>
      <c r="L1127" s="42" t="s">
        <v>50</v>
      </c>
      <c r="M1127" s="44" t="s">
        <v>1473</v>
      </c>
    </row>
    <row r="1128" spans="1:13" x14ac:dyDescent="0.35">
      <c r="A1128" s="42">
        <v>1279</v>
      </c>
      <c r="B1128" s="42" t="s">
        <v>136</v>
      </c>
      <c r="C1128" s="42" t="s">
        <v>137</v>
      </c>
      <c r="D1128" s="42" t="s">
        <v>176</v>
      </c>
      <c r="E1128" s="42" t="s">
        <v>206</v>
      </c>
      <c r="F1128" s="42" t="s">
        <v>206</v>
      </c>
      <c r="G1128" s="42" t="s">
        <v>141</v>
      </c>
      <c r="H1128" s="42" t="s">
        <v>156</v>
      </c>
      <c r="I1128" s="42"/>
      <c r="J1128" s="43" t="s">
        <v>143</v>
      </c>
      <c r="K1128" s="42" t="s">
        <v>76</v>
      </c>
      <c r="L1128" s="42" t="s">
        <v>446</v>
      </c>
      <c r="M1128" s="44" t="s">
        <v>1474</v>
      </c>
    </row>
    <row r="1129" spans="1:13" x14ac:dyDescent="0.35">
      <c r="A1129" s="42">
        <v>1279</v>
      </c>
      <c r="B1129" s="42" t="s">
        <v>136</v>
      </c>
      <c r="C1129" s="42" t="s">
        <v>137</v>
      </c>
      <c r="D1129" s="42" t="s">
        <v>176</v>
      </c>
      <c r="E1129" s="42" t="s">
        <v>206</v>
      </c>
      <c r="F1129" s="42" t="s">
        <v>206</v>
      </c>
      <c r="G1129" s="42" t="s">
        <v>141</v>
      </c>
      <c r="H1129" s="42" t="s">
        <v>156</v>
      </c>
      <c r="I1129" s="42"/>
      <c r="J1129" s="43" t="s">
        <v>143</v>
      </c>
      <c r="K1129" s="42" t="s">
        <v>78</v>
      </c>
      <c r="L1129" s="42" t="s">
        <v>335</v>
      </c>
      <c r="M1129" s="44" t="s">
        <v>1475</v>
      </c>
    </row>
    <row r="1130" spans="1:13" ht="37.5" x14ac:dyDescent="0.35">
      <c r="A1130" s="42">
        <v>877</v>
      </c>
      <c r="B1130" s="42" t="s">
        <v>136</v>
      </c>
      <c r="C1130" s="42" t="s">
        <v>199</v>
      </c>
      <c r="D1130" s="42" t="s">
        <v>159</v>
      </c>
      <c r="E1130" s="42" t="s">
        <v>160</v>
      </c>
      <c r="F1130" s="42" t="s">
        <v>160</v>
      </c>
      <c r="G1130" s="42" t="s">
        <v>141</v>
      </c>
      <c r="H1130" s="42" t="s">
        <v>146</v>
      </c>
      <c r="I1130" s="42">
        <v>10</v>
      </c>
      <c r="J1130" s="45" t="s">
        <v>147</v>
      </c>
      <c r="K1130" s="42" t="s">
        <v>76</v>
      </c>
      <c r="L1130" s="42" t="s">
        <v>482</v>
      </c>
      <c r="M1130" s="44" t="s">
        <v>1476</v>
      </c>
    </row>
    <row r="1131" spans="1:13" x14ac:dyDescent="0.35">
      <c r="A1131" s="42">
        <v>877</v>
      </c>
      <c r="B1131" s="42" t="s">
        <v>136</v>
      </c>
      <c r="C1131" s="42" t="s">
        <v>199</v>
      </c>
      <c r="D1131" s="42" t="s">
        <v>159</v>
      </c>
      <c r="E1131" s="42" t="s">
        <v>160</v>
      </c>
      <c r="F1131" s="42" t="s">
        <v>160</v>
      </c>
      <c r="G1131" s="42" t="s">
        <v>141</v>
      </c>
      <c r="H1131" s="42" t="s">
        <v>150</v>
      </c>
      <c r="I1131" s="42"/>
      <c r="J1131" s="45" t="s">
        <v>147</v>
      </c>
      <c r="K1131" s="42" t="s">
        <v>190</v>
      </c>
      <c r="L1131" s="42" t="s">
        <v>190</v>
      </c>
      <c r="M1131" s="44" t="s">
        <v>1477</v>
      </c>
    </row>
    <row r="1132" spans="1:13" x14ac:dyDescent="0.35">
      <c r="A1132" s="42">
        <v>877</v>
      </c>
      <c r="B1132" s="42" t="s">
        <v>136</v>
      </c>
      <c r="C1132" s="42" t="s">
        <v>199</v>
      </c>
      <c r="D1132" s="42" t="s">
        <v>159</v>
      </c>
      <c r="E1132" s="42" t="s">
        <v>160</v>
      </c>
      <c r="F1132" s="42" t="s">
        <v>160</v>
      </c>
      <c r="G1132" s="42" t="s">
        <v>141</v>
      </c>
      <c r="H1132" s="42" t="s">
        <v>150</v>
      </c>
      <c r="I1132" s="42"/>
      <c r="J1132" s="45" t="s">
        <v>147</v>
      </c>
      <c r="K1132" s="42" t="s">
        <v>210</v>
      </c>
      <c r="L1132" s="42" t="s">
        <v>210</v>
      </c>
      <c r="M1132" s="44" t="s">
        <v>1478</v>
      </c>
    </row>
    <row r="1133" spans="1:13" x14ac:dyDescent="0.35">
      <c r="A1133" s="42">
        <v>877</v>
      </c>
      <c r="B1133" s="42" t="s">
        <v>136</v>
      </c>
      <c r="C1133" s="42" t="s">
        <v>199</v>
      </c>
      <c r="D1133" s="42" t="s">
        <v>159</v>
      </c>
      <c r="E1133" s="42" t="s">
        <v>160</v>
      </c>
      <c r="F1133" s="42" t="s">
        <v>160</v>
      </c>
      <c r="G1133" s="42" t="s">
        <v>141</v>
      </c>
      <c r="H1133" s="42" t="s">
        <v>150</v>
      </c>
      <c r="I1133" s="42"/>
      <c r="J1133" s="45" t="s">
        <v>147</v>
      </c>
      <c r="K1133" s="42" t="s">
        <v>305</v>
      </c>
      <c r="L1133" s="42" t="s">
        <v>305</v>
      </c>
      <c r="M1133" s="44" t="s">
        <v>1479</v>
      </c>
    </row>
    <row r="1134" spans="1:13" x14ac:dyDescent="0.35">
      <c r="A1134" s="42">
        <v>877</v>
      </c>
      <c r="B1134" s="42" t="s">
        <v>136</v>
      </c>
      <c r="C1134" s="42" t="s">
        <v>199</v>
      </c>
      <c r="D1134" s="42" t="s">
        <v>159</v>
      </c>
      <c r="E1134" s="42" t="s">
        <v>160</v>
      </c>
      <c r="F1134" s="42" t="s">
        <v>160</v>
      </c>
      <c r="G1134" s="42" t="s">
        <v>141</v>
      </c>
      <c r="H1134" s="42" t="s">
        <v>156</v>
      </c>
      <c r="I1134" s="42"/>
      <c r="J1134" s="43" t="s">
        <v>143</v>
      </c>
      <c r="K1134" s="42" t="s">
        <v>184</v>
      </c>
      <c r="L1134" s="42" t="s">
        <v>184</v>
      </c>
      <c r="M1134" s="44" t="s">
        <v>1480</v>
      </c>
    </row>
    <row r="1135" spans="1:13" x14ac:dyDescent="0.35">
      <c r="A1135" s="42">
        <v>1283</v>
      </c>
      <c r="B1135" s="42" t="s">
        <v>136</v>
      </c>
      <c r="C1135" s="42" t="s">
        <v>199</v>
      </c>
      <c r="D1135" s="42" t="s">
        <v>176</v>
      </c>
      <c r="E1135" s="42" t="s">
        <v>274</v>
      </c>
      <c r="F1135" s="42" t="s">
        <v>140</v>
      </c>
      <c r="G1135" s="42" t="s">
        <v>141</v>
      </c>
      <c r="H1135" s="42" t="s">
        <v>163</v>
      </c>
      <c r="I1135" s="42"/>
      <c r="J1135" s="45" t="s">
        <v>147</v>
      </c>
      <c r="K1135" s="42" t="s">
        <v>196</v>
      </c>
      <c r="L1135" s="42" t="s">
        <v>1481</v>
      </c>
      <c r="M1135" s="44" t="s">
        <v>1482</v>
      </c>
    </row>
    <row r="1136" spans="1:13" ht="25" x14ac:dyDescent="0.35">
      <c r="A1136" s="42">
        <v>1283</v>
      </c>
      <c r="B1136" s="42" t="s">
        <v>136</v>
      </c>
      <c r="C1136" s="42" t="s">
        <v>199</v>
      </c>
      <c r="D1136" s="42" t="s">
        <v>176</v>
      </c>
      <c r="E1136" s="42" t="s">
        <v>274</v>
      </c>
      <c r="F1136" s="42" t="s">
        <v>140</v>
      </c>
      <c r="G1136" s="42" t="s">
        <v>141</v>
      </c>
      <c r="H1136" s="42" t="s">
        <v>166</v>
      </c>
      <c r="I1136" s="42">
        <v>6</v>
      </c>
      <c r="J1136" s="43" t="s">
        <v>143</v>
      </c>
      <c r="K1136" s="42" t="s">
        <v>53</v>
      </c>
      <c r="L1136" s="42" t="s">
        <v>1483</v>
      </c>
      <c r="M1136" s="44" t="s">
        <v>1484</v>
      </c>
    </row>
    <row r="1137" spans="1:13" ht="37.5" x14ac:dyDescent="0.35">
      <c r="A1137" s="42">
        <v>1283</v>
      </c>
      <c r="B1137" s="42" t="s">
        <v>136</v>
      </c>
      <c r="C1137" s="42" t="s">
        <v>199</v>
      </c>
      <c r="D1137" s="42" t="s">
        <v>176</v>
      </c>
      <c r="E1137" s="42" t="s">
        <v>274</v>
      </c>
      <c r="F1137" s="42" t="s">
        <v>140</v>
      </c>
      <c r="G1137" s="42" t="s">
        <v>141</v>
      </c>
      <c r="H1137" s="42" t="s">
        <v>146</v>
      </c>
      <c r="I1137" s="42">
        <v>9</v>
      </c>
      <c r="J1137" s="45" t="s">
        <v>147</v>
      </c>
      <c r="K1137" s="42" t="s">
        <v>305</v>
      </c>
      <c r="L1137" s="42" t="s">
        <v>1485</v>
      </c>
      <c r="M1137" s="44" t="s">
        <v>1486</v>
      </c>
    </row>
    <row r="1138" spans="1:13" x14ac:dyDescent="0.35">
      <c r="A1138" s="42">
        <v>1283</v>
      </c>
      <c r="B1138" s="42" t="s">
        <v>136</v>
      </c>
      <c r="C1138" s="42" t="s">
        <v>199</v>
      </c>
      <c r="D1138" s="42" t="s">
        <v>176</v>
      </c>
      <c r="E1138" s="42" t="s">
        <v>274</v>
      </c>
      <c r="F1138" s="42" t="s">
        <v>140</v>
      </c>
      <c r="G1138" s="42" t="s">
        <v>141</v>
      </c>
      <c r="H1138" s="42" t="s">
        <v>150</v>
      </c>
      <c r="I1138" s="42"/>
      <c r="J1138" s="45" t="s">
        <v>147</v>
      </c>
      <c r="K1138" s="42" t="s">
        <v>144</v>
      </c>
      <c r="L1138" s="42" t="s">
        <v>144</v>
      </c>
      <c r="M1138" s="44" t="s">
        <v>1487</v>
      </c>
    </row>
    <row r="1139" spans="1:13" x14ac:dyDescent="0.35">
      <c r="A1139" s="42">
        <v>1283</v>
      </c>
      <c r="B1139" s="42" t="s">
        <v>136</v>
      </c>
      <c r="C1139" s="42" t="s">
        <v>199</v>
      </c>
      <c r="D1139" s="42" t="s">
        <v>176</v>
      </c>
      <c r="E1139" s="42" t="s">
        <v>274</v>
      </c>
      <c r="F1139" s="42" t="s">
        <v>140</v>
      </c>
      <c r="G1139" s="42" t="s">
        <v>141</v>
      </c>
      <c r="H1139" s="42" t="s">
        <v>150</v>
      </c>
      <c r="I1139" s="42"/>
      <c r="J1139" s="45" t="s">
        <v>147</v>
      </c>
      <c r="K1139" s="42" t="s">
        <v>196</v>
      </c>
      <c r="L1139" s="42" t="s">
        <v>196</v>
      </c>
      <c r="M1139" s="44" t="s">
        <v>267</v>
      </c>
    </row>
    <row r="1140" spans="1:13" x14ac:dyDescent="0.35">
      <c r="A1140" s="42">
        <v>1283</v>
      </c>
      <c r="B1140" s="42" t="s">
        <v>136</v>
      </c>
      <c r="C1140" s="42" t="s">
        <v>199</v>
      </c>
      <c r="D1140" s="42" t="s">
        <v>176</v>
      </c>
      <c r="E1140" s="42" t="s">
        <v>274</v>
      </c>
      <c r="F1140" s="42" t="s">
        <v>140</v>
      </c>
      <c r="G1140" s="42" t="s">
        <v>141</v>
      </c>
      <c r="H1140" s="42" t="s">
        <v>150</v>
      </c>
      <c r="I1140" s="42"/>
      <c r="J1140" s="45" t="s">
        <v>147</v>
      </c>
      <c r="K1140" s="42" t="s">
        <v>190</v>
      </c>
      <c r="L1140" s="42" t="s">
        <v>190</v>
      </c>
      <c r="M1140" s="44" t="s">
        <v>1488</v>
      </c>
    </row>
    <row r="1141" spans="1:13" x14ac:dyDescent="0.35">
      <c r="A1141" s="42">
        <v>1283</v>
      </c>
      <c r="B1141" s="42" t="s">
        <v>136</v>
      </c>
      <c r="C1141" s="42" t="s">
        <v>199</v>
      </c>
      <c r="D1141" s="42" t="s">
        <v>176</v>
      </c>
      <c r="E1141" s="42" t="s">
        <v>274</v>
      </c>
      <c r="F1141" s="42" t="s">
        <v>140</v>
      </c>
      <c r="G1141" s="42" t="s">
        <v>141</v>
      </c>
      <c r="H1141" s="42" t="s">
        <v>156</v>
      </c>
      <c r="I1141" s="42"/>
      <c r="J1141" s="43" t="s">
        <v>143</v>
      </c>
      <c r="K1141" s="42" t="s">
        <v>305</v>
      </c>
      <c r="L1141" s="42" t="s">
        <v>305</v>
      </c>
      <c r="M1141" s="44" t="s">
        <v>1489</v>
      </c>
    </row>
    <row r="1142" spans="1:13" x14ac:dyDescent="0.35">
      <c r="A1142" s="42">
        <v>1285</v>
      </c>
      <c r="B1142" s="42" t="s">
        <v>136</v>
      </c>
      <c r="C1142" s="42" t="s">
        <v>199</v>
      </c>
      <c r="D1142" s="42" t="s">
        <v>159</v>
      </c>
      <c r="E1142" s="42" t="s">
        <v>274</v>
      </c>
      <c r="F1142" s="42" t="s">
        <v>140</v>
      </c>
      <c r="G1142" s="42" t="s">
        <v>141</v>
      </c>
      <c r="H1142" s="42" t="s">
        <v>142</v>
      </c>
      <c r="I1142" s="42">
        <v>3</v>
      </c>
      <c r="J1142" s="43" t="s">
        <v>143</v>
      </c>
      <c r="K1142" s="42" t="s">
        <v>144</v>
      </c>
      <c r="L1142" s="42" t="s">
        <v>164</v>
      </c>
      <c r="M1142" s="44" t="s">
        <v>1490</v>
      </c>
    </row>
    <row r="1143" spans="1:13" x14ac:dyDescent="0.35">
      <c r="A1143" s="42">
        <v>1285</v>
      </c>
      <c r="B1143" s="42" t="s">
        <v>136</v>
      </c>
      <c r="C1143" s="42" t="s">
        <v>199</v>
      </c>
      <c r="D1143" s="42" t="s">
        <v>159</v>
      </c>
      <c r="E1143" s="42" t="s">
        <v>274</v>
      </c>
      <c r="F1143" s="42" t="s">
        <v>140</v>
      </c>
      <c r="G1143" s="42" t="s">
        <v>141</v>
      </c>
      <c r="H1143" s="42" t="s">
        <v>146</v>
      </c>
      <c r="I1143" s="42">
        <v>5</v>
      </c>
      <c r="J1143" s="43" t="s">
        <v>143</v>
      </c>
      <c r="K1143" s="42" t="s">
        <v>305</v>
      </c>
      <c r="L1143" s="42" t="s">
        <v>1491</v>
      </c>
      <c r="M1143" s="44" t="s">
        <v>1492</v>
      </c>
    </row>
    <row r="1144" spans="1:13" x14ac:dyDescent="0.35">
      <c r="A1144" s="42">
        <v>1285</v>
      </c>
      <c r="B1144" s="42" t="s">
        <v>136</v>
      </c>
      <c r="C1144" s="42" t="s">
        <v>199</v>
      </c>
      <c r="D1144" s="42" t="s">
        <v>159</v>
      </c>
      <c r="E1144" s="42" t="s">
        <v>274</v>
      </c>
      <c r="F1144" s="42" t="s">
        <v>140</v>
      </c>
      <c r="G1144" s="42" t="s">
        <v>141</v>
      </c>
      <c r="H1144" s="42" t="s">
        <v>150</v>
      </c>
      <c r="I1144" s="42"/>
      <c r="J1144" s="45" t="s">
        <v>147</v>
      </c>
      <c r="K1144" s="42" t="s">
        <v>196</v>
      </c>
      <c r="L1144" s="42" t="s">
        <v>196</v>
      </c>
      <c r="M1144" s="44" t="s">
        <v>1493</v>
      </c>
    </row>
    <row r="1145" spans="1:13" x14ac:dyDescent="0.35">
      <c r="A1145" s="42">
        <v>1285</v>
      </c>
      <c r="B1145" s="42" t="s">
        <v>136</v>
      </c>
      <c r="C1145" s="42" t="s">
        <v>199</v>
      </c>
      <c r="D1145" s="42" t="s">
        <v>159</v>
      </c>
      <c r="E1145" s="42" t="s">
        <v>274</v>
      </c>
      <c r="F1145" s="42" t="s">
        <v>140</v>
      </c>
      <c r="G1145" s="42" t="s">
        <v>141</v>
      </c>
      <c r="H1145" s="42" t="s">
        <v>150</v>
      </c>
      <c r="I1145" s="42"/>
      <c r="J1145" s="45" t="s">
        <v>147</v>
      </c>
      <c r="K1145" s="42" t="s">
        <v>210</v>
      </c>
      <c r="L1145" s="42" t="s">
        <v>210</v>
      </c>
      <c r="M1145" s="44" t="s">
        <v>1494</v>
      </c>
    </row>
    <row r="1146" spans="1:13" x14ac:dyDescent="0.35">
      <c r="A1146" s="42">
        <v>1285</v>
      </c>
      <c r="B1146" s="42" t="s">
        <v>136</v>
      </c>
      <c r="C1146" s="42" t="s">
        <v>199</v>
      </c>
      <c r="D1146" s="42" t="s">
        <v>159</v>
      </c>
      <c r="E1146" s="42" t="s">
        <v>274</v>
      </c>
      <c r="F1146" s="42" t="s">
        <v>140</v>
      </c>
      <c r="G1146" s="42" t="s">
        <v>141</v>
      </c>
      <c r="H1146" s="42" t="s">
        <v>150</v>
      </c>
      <c r="I1146" s="42"/>
      <c r="J1146" s="45" t="s">
        <v>147</v>
      </c>
      <c r="K1146" s="42" t="s">
        <v>210</v>
      </c>
      <c r="L1146" s="42" t="s">
        <v>210</v>
      </c>
      <c r="M1146" s="44" t="s">
        <v>1495</v>
      </c>
    </row>
    <row r="1147" spans="1:13" x14ac:dyDescent="0.35">
      <c r="A1147" s="42">
        <v>1285</v>
      </c>
      <c r="B1147" s="42" t="s">
        <v>136</v>
      </c>
      <c r="C1147" s="42" t="s">
        <v>199</v>
      </c>
      <c r="D1147" s="42" t="s">
        <v>159</v>
      </c>
      <c r="E1147" s="42" t="s">
        <v>274</v>
      </c>
      <c r="F1147" s="42" t="s">
        <v>140</v>
      </c>
      <c r="G1147" s="42" t="s">
        <v>141</v>
      </c>
      <c r="H1147" s="42" t="s">
        <v>156</v>
      </c>
      <c r="I1147" s="42"/>
      <c r="J1147" s="43" t="s">
        <v>143</v>
      </c>
      <c r="K1147" s="42" t="s">
        <v>144</v>
      </c>
      <c r="L1147" s="42" t="s">
        <v>144</v>
      </c>
      <c r="M1147" s="44" t="s">
        <v>273</v>
      </c>
    </row>
    <row r="1148" spans="1:13" x14ac:dyDescent="0.35">
      <c r="A1148" s="42">
        <v>1285</v>
      </c>
      <c r="B1148" s="42" t="s">
        <v>136</v>
      </c>
      <c r="C1148" s="42" t="s">
        <v>199</v>
      </c>
      <c r="D1148" s="42" t="s">
        <v>159</v>
      </c>
      <c r="E1148" s="42" t="s">
        <v>274</v>
      </c>
      <c r="F1148" s="42" t="s">
        <v>140</v>
      </c>
      <c r="G1148" s="42" t="s">
        <v>141</v>
      </c>
      <c r="H1148" s="42" t="s">
        <v>156</v>
      </c>
      <c r="I1148" s="42"/>
      <c r="J1148" s="43" t="s">
        <v>143</v>
      </c>
      <c r="K1148" s="42" t="s">
        <v>305</v>
      </c>
      <c r="L1148" s="42" t="s">
        <v>305</v>
      </c>
      <c r="M1148" s="44" t="s">
        <v>1496</v>
      </c>
    </row>
    <row r="1149" spans="1:13" x14ac:dyDescent="0.35">
      <c r="A1149" s="42">
        <v>1285</v>
      </c>
      <c r="B1149" s="42" t="s">
        <v>136</v>
      </c>
      <c r="C1149" s="42" t="s">
        <v>199</v>
      </c>
      <c r="D1149" s="42" t="s">
        <v>159</v>
      </c>
      <c r="E1149" s="42" t="s">
        <v>274</v>
      </c>
      <c r="F1149" s="42" t="s">
        <v>140</v>
      </c>
      <c r="G1149" s="42" t="s">
        <v>141</v>
      </c>
      <c r="H1149" s="42" t="s">
        <v>156</v>
      </c>
      <c r="I1149" s="42"/>
      <c r="J1149" s="43" t="s">
        <v>143</v>
      </c>
      <c r="K1149" s="42" t="s">
        <v>305</v>
      </c>
      <c r="L1149" s="42" t="s">
        <v>1497</v>
      </c>
      <c r="M1149" s="44" t="s">
        <v>1498</v>
      </c>
    </row>
    <row r="1150" spans="1:13" ht="25" x14ac:dyDescent="0.35">
      <c r="A1150" s="42">
        <v>1298</v>
      </c>
      <c r="B1150" s="42" t="s">
        <v>175</v>
      </c>
      <c r="C1150" s="42" t="s">
        <v>199</v>
      </c>
      <c r="D1150" s="42" t="s">
        <v>176</v>
      </c>
      <c r="E1150" s="42" t="s">
        <v>139</v>
      </c>
      <c r="F1150" s="42" t="s">
        <v>140</v>
      </c>
      <c r="G1150" s="42" t="s">
        <v>141</v>
      </c>
      <c r="H1150" s="42" t="s">
        <v>142</v>
      </c>
      <c r="I1150" s="42">
        <v>6</v>
      </c>
      <c r="J1150" s="43" t="s">
        <v>143</v>
      </c>
      <c r="K1150" s="42" t="s">
        <v>76</v>
      </c>
      <c r="L1150" s="42" t="s">
        <v>446</v>
      </c>
      <c r="M1150" s="44" t="s">
        <v>1499</v>
      </c>
    </row>
    <row r="1151" spans="1:13" x14ac:dyDescent="0.35">
      <c r="A1151" s="42">
        <v>1298</v>
      </c>
      <c r="B1151" s="42" t="s">
        <v>175</v>
      </c>
      <c r="C1151" s="42" t="s">
        <v>199</v>
      </c>
      <c r="D1151" s="42" t="s">
        <v>176</v>
      </c>
      <c r="E1151" s="42" t="s">
        <v>139</v>
      </c>
      <c r="F1151" s="42" t="s">
        <v>140</v>
      </c>
      <c r="G1151" s="42" t="s">
        <v>141</v>
      </c>
      <c r="H1151" s="42" t="s">
        <v>166</v>
      </c>
      <c r="I1151" s="42">
        <v>6</v>
      </c>
      <c r="J1151" s="43" t="s">
        <v>143</v>
      </c>
      <c r="K1151" s="42" t="s">
        <v>196</v>
      </c>
      <c r="L1151" s="42" t="s">
        <v>1481</v>
      </c>
      <c r="M1151" s="44" t="s">
        <v>1500</v>
      </c>
    </row>
    <row r="1152" spans="1:13" ht="25" x14ac:dyDescent="0.35">
      <c r="A1152" s="42">
        <v>1298</v>
      </c>
      <c r="B1152" s="42" t="s">
        <v>175</v>
      </c>
      <c r="C1152" s="42" t="s">
        <v>199</v>
      </c>
      <c r="D1152" s="42" t="s">
        <v>176</v>
      </c>
      <c r="E1152" s="42" t="s">
        <v>139</v>
      </c>
      <c r="F1152" s="42" t="s">
        <v>140</v>
      </c>
      <c r="G1152" s="42" t="s">
        <v>141</v>
      </c>
      <c r="H1152" s="42" t="s">
        <v>183</v>
      </c>
      <c r="I1152" s="42">
        <v>6</v>
      </c>
      <c r="J1152" s="43" t="s">
        <v>143</v>
      </c>
      <c r="K1152" s="42" t="s">
        <v>187</v>
      </c>
      <c r="L1152" s="42" t="s">
        <v>784</v>
      </c>
      <c r="M1152" s="44" t="s">
        <v>1501</v>
      </c>
    </row>
    <row r="1153" spans="1:13" x14ac:dyDescent="0.35">
      <c r="A1153" s="42">
        <v>1298</v>
      </c>
      <c r="B1153" s="42" t="s">
        <v>175</v>
      </c>
      <c r="C1153" s="42" t="s">
        <v>199</v>
      </c>
      <c r="D1153" s="42" t="s">
        <v>176</v>
      </c>
      <c r="E1153" s="42" t="s">
        <v>139</v>
      </c>
      <c r="F1153" s="42" t="s">
        <v>140</v>
      </c>
      <c r="G1153" s="42" t="s">
        <v>141</v>
      </c>
      <c r="H1153" s="42" t="s">
        <v>146</v>
      </c>
      <c r="I1153" s="42">
        <v>8</v>
      </c>
      <c r="J1153" s="46" t="s">
        <v>222</v>
      </c>
      <c r="K1153" s="42" t="s">
        <v>80</v>
      </c>
      <c r="L1153" s="42" t="s">
        <v>80</v>
      </c>
      <c r="M1153" s="44" t="s">
        <v>1502</v>
      </c>
    </row>
    <row r="1154" spans="1:13" x14ac:dyDescent="0.35">
      <c r="A1154" s="42">
        <v>1298</v>
      </c>
      <c r="B1154" s="42" t="s">
        <v>175</v>
      </c>
      <c r="C1154" s="42" t="s">
        <v>199</v>
      </c>
      <c r="D1154" s="42" t="s">
        <v>176</v>
      </c>
      <c r="E1154" s="42" t="s">
        <v>139</v>
      </c>
      <c r="F1154" s="42" t="s">
        <v>140</v>
      </c>
      <c r="G1154" s="42" t="s">
        <v>141</v>
      </c>
      <c r="H1154" s="42" t="s">
        <v>150</v>
      </c>
      <c r="I1154" s="42"/>
      <c r="J1154" s="45" t="s">
        <v>147</v>
      </c>
      <c r="K1154" s="42" t="s">
        <v>210</v>
      </c>
      <c r="L1154" s="42" t="s">
        <v>210</v>
      </c>
      <c r="M1154" s="44" t="s">
        <v>1503</v>
      </c>
    </row>
    <row r="1155" spans="1:13" x14ac:dyDescent="0.35">
      <c r="A1155" s="42">
        <v>1298</v>
      </c>
      <c r="B1155" s="42" t="s">
        <v>175</v>
      </c>
      <c r="C1155" s="42" t="s">
        <v>199</v>
      </c>
      <c r="D1155" s="42" t="s">
        <v>176</v>
      </c>
      <c r="E1155" s="42" t="s">
        <v>139</v>
      </c>
      <c r="F1155" s="42" t="s">
        <v>140</v>
      </c>
      <c r="G1155" s="42" t="s">
        <v>141</v>
      </c>
      <c r="H1155" s="42" t="s">
        <v>150</v>
      </c>
      <c r="I1155" s="42"/>
      <c r="J1155" s="45" t="s">
        <v>147</v>
      </c>
      <c r="K1155" s="42" t="s">
        <v>78</v>
      </c>
      <c r="L1155" s="42" t="s">
        <v>151</v>
      </c>
      <c r="M1155" s="44" t="s">
        <v>1504</v>
      </c>
    </row>
    <row r="1156" spans="1:13" x14ac:dyDescent="0.35">
      <c r="A1156" s="42">
        <v>1298</v>
      </c>
      <c r="B1156" s="42" t="s">
        <v>175</v>
      </c>
      <c r="C1156" s="42" t="s">
        <v>199</v>
      </c>
      <c r="D1156" s="42" t="s">
        <v>176</v>
      </c>
      <c r="E1156" s="42" t="s">
        <v>139</v>
      </c>
      <c r="F1156" s="42" t="s">
        <v>140</v>
      </c>
      <c r="G1156" s="42" t="s">
        <v>141</v>
      </c>
      <c r="H1156" s="42" t="s">
        <v>150</v>
      </c>
      <c r="I1156" s="42"/>
      <c r="J1156" s="45" t="s">
        <v>147</v>
      </c>
      <c r="K1156" s="42" t="s">
        <v>144</v>
      </c>
      <c r="L1156" s="42" t="s">
        <v>144</v>
      </c>
      <c r="M1156" s="44" t="s">
        <v>1505</v>
      </c>
    </row>
    <row r="1157" spans="1:13" x14ac:dyDescent="0.35">
      <c r="A1157" s="42">
        <v>1298</v>
      </c>
      <c r="B1157" s="42" t="s">
        <v>175</v>
      </c>
      <c r="C1157" s="42" t="s">
        <v>199</v>
      </c>
      <c r="D1157" s="42" t="s">
        <v>176</v>
      </c>
      <c r="E1157" s="42" t="s">
        <v>139</v>
      </c>
      <c r="F1157" s="42" t="s">
        <v>140</v>
      </c>
      <c r="G1157" s="42" t="s">
        <v>141</v>
      </c>
      <c r="H1157" s="42" t="s">
        <v>156</v>
      </c>
      <c r="I1157" s="42"/>
      <c r="J1157" s="43" t="s">
        <v>143</v>
      </c>
      <c r="K1157" s="42" t="s">
        <v>210</v>
      </c>
      <c r="L1157" s="42" t="s">
        <v>210</v>
      </c>
      <c r="M1157" s="44" t="s">
        <v>1506</v>
      </c>
    </row>
    <row r="1158" spans="1:13" x14ac:dyDescent="0.35">
      <c r="A1158" s="42">
        <v>1298</v>
      </c>
      <c r="B1158" s="42" t="s">
        <v>175</v>
      </c>
      <c r="C1158" s="42" t="s">
        <v>199</v>
      </c>
      <c r="D1158" s="42" t="s">
        <v>176</v>
      </c>
      <c r="E1158" s="42" t="s">
        <v>139</v>
      </c>
      <c r="F1158" s="42" t="s">
        <v>140</v>
      </c>
      <c r="G1158" s="42" t="s">
        <v>141</v>
      </c>
      <c r="H1158" s="42" t="s">
        <v>156</v>
      </c>
      <c r="I1158" s="42"/>
      <c r="J1158" s="43" t="s">
        <v>143</v>
      </c>
      <c r="K1158" s="42" t="s">
        <v>184</v>
      </c>
      <c r="L1158" s="42" t="s">
        <v>184</v>
      </c>
      <c r="M1158" s="44" t="s">
        <v>1507</v>
      </c>
    </row>
    <row r="1159" spans="1:13" x14ac:dyDescent="0.35">
      <c r="A1159" s="42">
        <v>1298</v>
      </c>
      <c r="B1159" s="42" t="s">
        <v>175</v>
      </c>
      <c r="C1159" s="42" t="s">
        <v>199</v>
      </c>
      <c r="D1159" s="42" t="s">
        <v>176</v>
      </c>
      <c r="E1159" s="42" t="s">
        <v>139</v>
      </c>
      <c r="F1159" s="42" t="s">
        <v>140</v>
      </c>
      <c r="G1159" s="42" t="s">
        <v>141</v>
      </c>
      <c r="H1159" s="42" t="s">
        <v>156</v>
      </c>
      <c r="I1159" s="42"/>
      <c r="J1159" s="43" t="s">
        <v>143</v>
      </c>
      <c r="K1159" s="42" t="s">
        <v>144</v>
      </c>
      <c r="L1159" s="42" t="s">
        <v>144</v>
      </c>
      <c r="M1159" s="44" t="s">
        <v>1508</v>
      </c>
    </row>
    <row r="1160" spans="1:13" ht="50" x14ac:dyDescent="0.35">
      <c r="A1160" s="42">
        <v>1300</v>
      </c>
      <c r="B1160" s="42" t="s">
        <v>136</v>
      </c>
      <c r="C1160" s="42" t="s">
        <v>137</v>
      </c>
      <c r="D1160" s="42" t="s">
        <v>176</v>
      </c>
      <c r="E1160" s="42" t="s">
        <v>139</v>
      </c>
      <c r="F1160" s="42" t="s">
        <v>140</v>
      </c>
      <c r="G1160" s="42" t="s">
        <v>141</v>
      </c>
      <c r="H1160" s="42" t="s">
        <v>166</v>
      </c>
      <c r="I1160" s="42">
        <v>4</v>
      </c>
      <c r="J1160" s="43" t="s">
        <v>143</v>
      </c>
      <c r="K1160" s="42" t="s">
        <v>50</v>
      </c>
      <c r="L1160" s="42" t="s">
        <v>1509</v>
      </c>
      <c r="M1160" s="44" t="s">
        <v>1510</v>
      </c>
    </row>
    <row r="1161" spans="1:13" ht="37.5" x14ac:dyDescent="0.35">
      <c r="A1161" s="42">
        <v>1300</v>
      </c>
      <c r="B1161" s="42" t="s">
        <v>136</v>
      </c>
      <c r="C1161" s="42" t="s">
        <v>137</v>
      </c>
      <c r="D1161" s="42" t="s">
        <v>176</v>
      </c>
      <c r="E1161" s="42" t="s">
        <v>139</v>
      </c>
      <c r="F1161" s="42" t="s">
        <v>140</v>
      </c>
      <c r="G1161" s="42" t="s">
        <v>141</v>
      </c>
      <c r="H1161" s="42" t="s">
        <v>180</v>
      </c>
      <c r="I1161" s="42">
        <v>1</v>
      </c>
      <c r="J1161" s="43" t="s">
        <v>143</v>
      </c>
      <c r="K1161" s="42" t="s">
        <v>196</v>
      </c>
      <c r="L1161" s="42" t="s">
        <v>252</v>
      </c>
      <c r="M1161" s="44" t="s">
        <v>1511</v>
      </c>
    </row>
    <row r="1162" spans="1:13" ht="25" x14ac:dyDescent="0.35">
      <c r="A1162" s="42">
        <v>1300</v>
      </c>
      <c r="B1162" s="42" t="s">
        <v>136</v>
      </c>
      <c r="C1162" s="42" t="s">
        <v>137</v>
      </c>
      <c r="D1162" s="42" t="s">
        <v>176</v>
      </c>
      <c r="E1162" s="42" t="s">
        <v>139</v>
      </c>
      <c r="F1162" s="42" t="s">
        <v>140</v>
      </c>
      <c r="G1162" s="42" t="s">
        <v>141</v>
      </c>
      <c r="H1162" s="42" t="s">
        <v>146</v>
      </c>
      <c r="I1162" s="42">
        <v>3</v>
      </c>
      <c r="J1162" s="43" t="s">
        <v>143</v>
      </c>
      <c r="K1162" s="42" t="s">
        <v>190</v>
      </c>
      <c r="L1162" s="42" t="s">
        <v>190</v>
      </c>
      <c r="M1162" s="44" t="s">
        <v>1512</v>
      </c>
    </row>
    <row r="1163" spans="1:13" ht="25" x14ac:dyDescent="0.35">
      <c r="A1163" s="42">
        <v>1300</v>
      </c>
      <c r="B1163" s="42" t="s">
        <v>136</v>
      </c>
      <c r="C1163" s="42" t="s">
        <v>137</v>
      </c>
      <c r="D1163" s="42" t="s">
        <v>176</v>
      </c>
      <c r="E1163" s="42" t="s">
        <v>139</v>
      </c>
      <c r="F1163" s="42" t="s">
        <v>140</v>
      </c>
      <c r="G1163" s="42" t="s">
        <v>141</v>
      </c>
      <c r="H1163" s="42" t="s">
        <v>150</v>
      </c>
      <c r="I1163" s="42"/>
      <c r="J1163" s="45" t="s">
        <v>147</v>
      </c>
      <c r="K1163" s="42" t="s">
        <v>196</v>
      </c>
      <c r="L1163" s="42" t="s">
        <v>252</v>
      </c>
      <c r="M1163" s="44" t="s">
        <v>1513</v>
      </c>
    </row>
    <row r="1164" spans="1:13" ht="25" x14ac:dyDescent="0.35">
      <c r="A1164" s="42">
        <v>1300</v>
      </c>
      <c r="B1164" s="42" t="s">
        <v>136</v>
      </c>
      <c r="C1164" s="42" t="s">
        <v>137</v>
      </c>
      <c r="D1164" s="42" t="s">
        <v>176</v>
      </c>
      <c r="E1164" s="42" t="s">
        <v>139</v>
      </c>
      <c r="F1164" s="42" t="s">
        <v>140</v>
      </c>
      <c r="G1164" s="42" t="s">
        <v>141</v>
      </c>
      <c r="H1164" s="42" t="s">
        <v>150</v>
      </c>
      <c r="I1164" s="42"/>
      <c r="J1164" s="45" t="s">
        <v>147</v>
      </c>
      <c r="K1164" s="42" t="s">
        <v>196</v>
      </c>
      <c r="L1164" s="42" t="s">
        <v>217</v>
      </c>
      <c r="M1164" s="44" t="s">
        <v>1514</v>
      </c>
    </row>
    <row r="1165" spans="1:13" x14ac:dyDescent="0.35">
      <c r="A1165" s="42">
        <v>1300</v>
      </c>
      <c r="B1165" s="42" t="s">
        <v>136</v>
      </c>
      <c r="C1165" s="42" t="s">
        <v>137</v>
      </c>
      <c r="D1165" s="42" t="s">
        <v>176</v>
      </c>
      <c r="E1165" s="42" t="s">
        <v>139</v>
      </c>
      <c r="F1165" s="42" t="s">
        <v>140</v>
      </c>
      <c r="G1165" s="42" t="s">
        <v>141</v>
      </c>
      <c r="H1165" s="42" t="s">
        <v>150</v>
      </c>
      <c r="I1165" s="42"/>
      <c r="J1165" s="45" t="s">
        <v>147</v>
      </c>
      <c r="K1165" s="42" t="s">
        <v>144</v>
      </c>
      <c r="L1165" s="42" t="s">
        <v>173</v>
      </c>
      <c r="M1165" s="44" t="s">
        <v>1515</v>
      </c>
    </row>
    <row r="1166" spans="1:13" x14ac:dyDescent="0.35">
      <c r="A1166" s="42">
        <v>1300</v>
      </c>
      <c r="B1166" s="42" t="s">
        <v>136</v>
      </c>
      <c r="C1166" s="42" t="s">
        <v>137</v>
      </c>
      <c r="D1166" s="42" t="s">
        <v>176</v>
      </c>
      <c r="E1166" s="42" t="s">
        <v>139</v>
      </c>
      <c r="F1166" s="42" t="s">
        <v>140</v>
      </c>
      <c r="G1166" s="42" t="s">
        <v>141</v>
      </c>
      <c r="H1166" s="42" t="s">
        <v>156</v>
      </c>
      <c r="I1166" s="42"/>
      <c r="J1166" s="43" t="s">
        <v>143</v>
      </c>
      <c r="K1166" s="42" t="s">
        <v>84</v>
      </c>
      <c r="L1166" s="42" t="s">
        <v>424</v>
      </c>
      <c r="M1166" s="44" t="s">
        <v>1516</v>
      </c>
    </row>
    <row r="1167" spans="1:13" ht="25" x14ac:dyDescent="0.35">
      <c r="A1167" s="42">
        <v>1300</v>
      </c>
      <c r="B1167" s="42" t="s">
        <v>136</v>
      </c>
      <c r="C1167" s="42" t="s">
        <v>137</v>
      </c>
      <c r="D1167" s="42" t="s">
        <v>176</v>
      </c>
      <c r="E1167" s="42" t="s">
        <v>139</v>
      </c>
      <c r="F1167" s="42" t="s">
        <v>140</v>
      </c>
      <c r="G1167" s="42" t="s">
        <v>141</v>
      </c>
      <c r="H1167" s="42" t="s">
        <v>156</v>
      </c>
      <c r="I1167" s="42"/>
      <c r="J1167" s="43" t="s">
        <v>143</v>
      </c>
      <c r="K1167" s="42" t="s">
        <v>210</v>
      </c>
      <c r="L1167" s="42" t="s">
        <v>210</v>
      </c>
      <c r="M1167" s="44" t="s">
        <v>1517</v>
      </c>
    </row>
    <row r="1168" spans="1:13" ht="25" x14ac:dyDescent="0.35">
      <c r="A1168" s="42">
        <v>932</v>
      </c>
      <c r="B1168" s="42" t="s">
        <v>136</v>
      </c>
      <c r="C1168" s="42" t="s">
        <v>137</v>
      </c>
      <c r="D1168" s="42" t="s">
        <v>159</v>
      </c>
      <c r="E1168" s="42" t="s">
        <v>160</v>
      </c>
      <c r="F1168" s="42" t="s">
        <v>160</v>
      </c>
      <c r="G1168" s="42" t="s">
        <v>141</v>
      </c>
      <c r="H1168" s="42" t="s">
        <v>166</v>
      </c>
      <c r="I1168" s="42">
        <v>5</v>
      </c>
      <c r="J1168" s="43" t="s">
        <v>143</v>
      </c>
      <c r="K1168" s="42" t="s">
        <v>50</v>
      </c>
      <c r="L1168" s="42" t="s">
        <v>348</v>
      </c>
      <c r="M1168" s="44" t="s">
        <v>1518</v>
      </c>
    </row>
    <row r="1169" spans="1:13" ht="25" x14ac:dyDescent="0.35">
      <c r="A1169" s="42">
        <v>932</v>
      </c>
      <c r="B1169" s="42" t="s">
        <v>136</v>
      </c>
      <c r="C1169" s="42" t="s">
        <v>137</v>
      </c>
      <c r="D1169" s="42" t="s">
        <v>159</v>
      </c>
      <c r="E1169" s="42" t="s">
        <v>160</v>
      </c>
      <c r="F1169" s="42" t="s">
        <v>160</v>
      </c>
      <c r="G1169" s="42" t="s">
        <v>141</v>
      </c>
      <c r="H1169" s="42" t="s">
        <v>146</v>
      </c>
      <c r="I1169" s="42">
        <v>10</v>
      </c>
      <c r="J1169" s="45" t="s">
        <v>147</v>
      </c>
      <c r="K1169" s="42" t="s">
        <v>78</v>
      </c>
      <c r="L1169" s="42" t="s">
        <v>335</v>
      </c>
      <c r="M1169" s="44" t="s">
        <v>1519</v>
      </c>
    </row>
    <row r="1170" spans="1:13" ht="25" x14ac:dyDescent="0.35">
      <c r="A1170" s="42">
        <v>932</v>
      </c>
      <c r="B1170" s="42" t="s">
        <v>136</v>
      </c>
      <c r="C1170" s="42" t="s">
        <v>137</v>
      </c>
      <c r="D1170" s="42" t="s">
        <v>159</v>
      </c>
      <c r="E1170" s="42" t="s">
        <v>160</v>
      </c>
      <c r="F1170" s="42" t="s">
        <v>160</v>
      </c>
      <c r="G1170" s="42" t="s">
        <v>141</v>
      </c>
      <c r="H1170" s="42" t="s">
        <v>156</v>
      </c>
      <c r="I1170" s="42"/>
      <c r="J1170" s="43" t="s">
        <v>143</v>
      </c>
      <c r="K1170" s="42" t="s">
        <v>210</v>
      </c>
      <c r="L1170" s="42" t="s">
        <v>210</v>
      </c>
      <c r="M1170" s="44" t="s">
        <v>1520</v>
      </c>
    </row>
    <row r="1171" spans="1:13" x14ac:dyDescent="0.35">
      <c r="A1171" s="42">
        <v>932</v>
      </c>
      <c r="B1171" s="42" t="s">
        <v>136</v>
      </c>
      <c r="C1171" s="42" t="s">
        <v>137</v>
      </c>
      <c r="D1171" s="42" t="s">
        <v>159</v>
      </c>
      <c r="E1171" s="42" t="s">
        <v>160</v>
      </c>
      <c r="F1171" s="42" t="s">
        <v>160</v>
      </c>
      <c r="G1171" s="42" t="s">
        <v>141</v>
      </c>
      <c r="H1171" s="42" t="s">
        <v>156</v>
      </c>
      <c r="I1171" s="42"/>
      <c r="J1171" s="43" t="s">
        <v>143</v>
      </c>
      <c r="K1171" s="42" t="s">
        <v>196</v>
      </c>
      <c r="L1171" s="42" t="s">
        <v>196</v>
      </c>
      <c r="M1171" s="44" t="s">
        <v>1521</v>
      </c>
    </row>
    <row r="1172" spans="1:13" ht="25" x14ac:dyDescent="0.35">
      <c r="A1172" s="42">
        <v>1003</v>
      </c>
      <c r="B1172" s="42" t="s">
        <v>175</v>
      </c>
      <c r="C1172" s="42" t="s">
        <v>199</v>
      </c>
      <c r="D1172" s="42" t="s">
        <v>176</v>
      </c>
      <c r="E1172" s="42" t="s">
        <v>160</v>
      </c>
      <c r="F1172" s="42" t="s">
        <v>160</v>
      </c>
      <c r="G1172" s="42" t="s">
        <v>141</v>
      </c>
      <c r="H1172" s="42" t="s">
        <v>146</v>
      </c>
      <c r="I1172" s="42">
        <v>10</v>
      </c>
      <c r="J1172" s="45" t="s">
        <v>147</v>
      </c>
      <c r="K1172" s="42" t="s">
        <v>181</v>
      </c>
      <c r="L1172" s="42" t="s">
        <v>1124</v>
      </c>
      <c r="M1172" s="44" t="s">
        <v>1522</v>
      </c>
    </row>
    <row r="1173" spans="1:13" x14ac:dyDescent="0.35">
      <c r="A1173" s="42">
        <v>1003</v>
      </c>
      <c r="B1173" s="42" t="s">
        <v>175</v>
      </c>
      <c r="C1173" s="42" t="s">
        <v>199</v>
      </c>
      <c r="D1173" s="42" t="s">
        <v>176</v>
      </c>
      <c r="E1173" s="42" t="s">
        <v>160</v>
      </c>
      <c r="F1173" s="42" t="s">
        <v>160</v>
      </c>
      <c r="G1173" s="42" t="s">
        <v>141</v>
      </c>
      <c r="H1173" s="42" t="s">
        <v>150</v>
      </c>
      <c r="I1173" s="42"/>
      <c r="J1173" s="45" t="s">
        <v>147</v>
      </c>
      <c r="K1173" s="42" t="s">
        <v>80</v>
      </c>
      <c r="L1173" s="42" t="s">
        <v>80</v>
      </c>
      <c r="M1173" s="44" t="s">
        <v>1523</v>
      </c>
    </row>
    <row r="1174" spans="1:13" x14ac:dyDescent="0.35">
      <c r="A1174" s="42">
        <v>1003</v>
      </c>
      <c r="B1174" s="42" t="s">
        <v>175</v>
      </c>
      <c r="C1174" s="42" t="s">
        <v>199</v>
      </c>
      <c r="D1174" s="42" t="s">
        <v>176</v>
      </c>
      <c r="E1174" s="42" t="s">
        <v>160</v>
      </c>
      <c r="F1174" s="42" t="s">
        <v>160</v>
      </c>
      <c r="G1174" s="42" t="s">
        <v>141</v>
      </c>
      <c r="H1174" s="42" t="s">
        <v>150</v>
      </c>
      <c r="I1174" s="42"/>
      <c r="J1174" s="45" t="s">
        <v>147</v>
      </c>
      <c r="K1174" s="42" t="s">
        <v>181</v>
      </c>
      <c r="L1174" s="42" t="s">
        <v>181</v>
      </c>
      <c r="M1174" s="44" t="s">
        <v>1524</v>
      </c>
    </row>
    <row r="1175" spans="1:13" x14ac:dyDescent="0.35">
      <c r="A1175" s="42">
        <v>1003</v>
      </c>
      <c r="B1175" s="42" t="s">
        <v>175</v>
      </c>
      <c r="C1175" s="42" t="s">
        <v>199</v>
      </c>
      <c r="D1175" s="42" t="s">
        <v>176</v>
      </c>
      <c r="E1175" s="42" t="s">
        <v>160</v>
      </c>
      <c r="F1175" s="42" t="s">
        <v>160</v>
      </c>
      <c r="G1175" s="42" t="s">
        <v>141</v>
      </c>
      <c r="H1175" s="42" t="s">
        <v>150</v>
      </c>
      <c r="I1175" s="42"/>
      <c r="J1175" s="45" t="s">
        <v>147</v>
      </c>
      <c r="K1175" s="42" t="s">
        <v>190</v>
      </c>
      <c r="L1175" s="42" t="s">
        <v>190</v>
      </c>
      <c r="M1175" s="44" t="s">
        <v>1525</v>
      </c>
    </row>
    <row r="1176" spans="1:13" x14ac:dyDescent="0.35">
      <c r="A1176" s="42">
        <v>1003</v>
      </c>
      <c r="B1176" s="42" t="s">
        <v>175</v>
      </c>
      <c r="C1176" s="42" t="s">
        <v>199</v>
      </c>
      <c r="D1176" s="42" t="s">
        <v>176</v>
      </c>
      <c r="E1176" s="42" t="s">
        <v>160</v>
      </c>
      <c r="F1176" s="42" t="s">
        <v>160</v>
      </c>
      <c r="G1176" s="42" t="s">
        <v>141</v>
      </c>
      <c r="H1176" s="42" t="s">
        <v>156</v>
      </c>
      <c r="I1176" s="42"/>
      <c r="J1176" s="43" t="s">
        <v>143</v>
      </c>
      <c r="K1176" s="42" t="s">
        <v>144</v>
      </c>
      <c r="L1176" s="42" t="s">
        <v>144</v>
      </c>
      <c r="M1176" s="44" t="s">
        <v>755</v>
      </c>
    </row>
    <row r="1177" spans="1:13" x14ac:dyDescent="0.35">
      <c r="A1177" s="42">
        <v>1003</v>
      </c>
      <c r="B1177" s="42" t="s">
        <v>175</v>
      </c>
      <c r="C1177" s="42" t="s">
        <v>199</v>
      </c>
      <c r="D1177" s="42" t="s">
        <v>176</v>
      </c>
      <c r="E1177" s="42" t="s">
        <v>160</v>
      </c>
      <c r="F1177" s="42" t="s">
        <v>160</v>
      </c>
      <c r="G1177" s="42" t="s">
        <v>141</v>
      </c>
      <c r="H1177" s="42" t="s">
        <v>156</v>
      </c>
      <c r="I1177" s="42"/>
      <c r="J1177" s="43" t="s">
        <v>143</v>
      </c>
      <c r="K1177" s="42" t="s">
        <v>196</v>
      </c>
      <c r="L1177" s="42" t="s">
        <v>517</v>
      </c>
      <c r="M1177" s="44" t="s">
        <v>1526</v>
      </c>
    </row>
    <row r="1178" spans="1:13" x14ac:dyDescent="0.35">
      <c r="A1178" s="42">
        <v>1003</v>
      </c>
      <c r="B1178" s="42" t="s">
        <v>175</v>
      </c>
      <c r="C1178" s="42" t="s">
        <v>199</v>
      </c>
      <c r="D1178" s="42" t="s">
        <v>176</v>
      </c>
      <c r="E1178" s="42" t="s">
        <v>160</v>
      </c>
      <c r="F1178" s="42" t="s">
        <v>160</v>
      </c>
      <c r="G1178" s="42" t="s">
        <v>141</v>
      </c>
      <c r="H1178" s="42" t="s">
        <v>156</v>
      </c>
      <c r="I1178" s="42"/>
      <c r="J1178" s="43" t="s">
        <v>143</v>
      </c>
      <c r="K1178" s="42" t="s">
        <v>305</v>
      </c>
      <c r="L1178" s="42" t="s">
        <v>305</v>
      </c>
      <c r="M1178" s="44" t="s">
        <v>1479</v>
      </c>
    </row>
    <row r="1179" spans="1:13" x14ac:dyDescent="0.35">
      <c r="A1179" s="42">
        <v>1305</v>
      </c>
      <c r="B1179" s="42" t="s">
        <v>136</v>
      </c>
      <c r="C1179" s="42" t="s">
        <v>137</v>
      </c>
      <c r="D1179" s="42" t="s">
        <v>159</v>
      </c>
      <c r="E1179" s="42" t="s">
        <v>274</v>
      </c>
      <c r="F1179" s="42" t="s">
        <v>140</v>
      </c>
      <c r="G1179" s="42" t="s">
        <v>141</v>
      </c>
      <c r="H1179" s="42" t="s">
        <v>163</v>
      </c>
      <c r="I1179" s="42"/>
      <c r="J1179" s="45" t="s">
        <v>147</v>
      </c>
      <c r="K1179" s="42" t="s">
        <v>144</v>
      </c>
      <c r="L1179" s="42" t="s">
        <v>1527</v>
      </c>
      <c r="M1179" s="44" t="s">
        <v>1528</v>
      </c>
    </row>
    <row r="1180" spans="1:13" ht="37.5" x14ac:dyDescent="0.35">
      <c r="A1180" s="42">
        <v>1305</v>
      </c>
      <c r="B1180" s="42" t="s">
        <v>136</v>
      </c>
      <c r="C1180" s="42" t="s">
        <v>137</v>
      </c>
      <c r="D1180" s="42" t="s">
        <v>159</v>
      </c>
      <c r="E1180" s="42" t="s">
        <v>274</v>
      </c>
      <c r="F1180" s="42" t="s">
        <v>140</v>
      </c>
      <c r="G1180" s="42" t="s">
        <v>141</v>
      </c>
      <c r="H1180" s="42" t="s">
        <v>177</v>
      </c>
      <c r="I1180" s="42">
        <v>6</v>
      </c>
      <c r="J1180" s="43" t="s">
        <v>143</v>
      </c>
      <c r="K1180" s="42" t="s">
        <v>53</v>
      </c>
      <c r="L1180" s="42" t="s">
        <v>1529</v>
      </c>
      <c r="M1180" s="44" t="s">
        <v>1530</v>
      </c>
    </row>
    <row r="1181" spans="1:13" ht="25" x14ac:dyDescent="0.35">
      <c r="A1181" s="42">
        <v>1305</v>
      </c>
      <c r="B1181" s="42" t="s">
        <v>136</v>
      </c>
      <c r="C1181" s="42" t="s">
        <v>137</v>
      </c>
      <c r="D1181" s="42" t="s">
        <v>159</v>
      </c>
      <c r="E1181" s="42" t="s">
        <v>274</v>
      </c>
      <c r="F1181" s="42" t="s">
        <v>140</v>
      </c>
      <c r="G1181" s="42" t="s">
        <v>141</v>
      </c>
      <c r="H1181" s="42" t="s">
        <v>146</v>
      </c>
      <c r="I1181" s="42">
        <v>8</v>
      </c>
      <c r="J1181" s="46" t="s">
        <v>222</v>
      </c>
      <c r="K1181" s="42" t="s">
        <v>196</v>
      </c>
      <c r="L1181" s="42" t="s">
        <v>196</v>
      </c>
      <c r="M1181" s="44" t="s">
        <v>1531</v>
      </c>
    </row>
    <row r="1182" spans="1:13" x14ac:dyDescent="0.35">
      <c r="A1182" s="42">
        <v>1305</v>
      </c>
      <c r="B1182" s="42" t="s">
        <v>136</v>
      </c>
      <c r="C1182" s="42" t="s">
        <v>137</v>
      </c>
      <c r="D1182" s="42" t="s">
        <v>159</v>
      </c>
      <c r="E1182" s="42" t="s">
        <v>274</v>
      </c>
      <c r="F1182" s="42" t="s">
        <v>140</v>
      </c>
      <c r="G1182" s="42" t="s">
        <v>141</v>
      </c>
      <c r="H1182" s="42" t="s">
        <v>150</v>
      </c>
      <c r="I1182" s="42"/>
      <c r="J1182" s="45" t="s">
        <v>147</v>
      </c>
      <c r="K1182" s="42" t="s">
        <v>144</v>
      </c>
      <c r="L1182" s="42" t="s">
        <v>294</v>
      </c>
      <c r="M1182" s="44" t="s">
        <v>1532</v>
      </c>
    </row>
    <row r="1183" spans="1:13" x14ac:dyDescent="0.35">
      <c r="A1183" s="42">
        <v>1305</v>
      </c>
      <c r="B1183" s="42" t="s">
        <v>136</v>
      </c>
      <c r="C1183" s="42" t="s">
        <v>137</v>
      </c>
      <c r="D1183" s="42" t="s">
        <v>159</v>
      </c>
      <c r="E1183" s="42" t="s">
        <v>274</v>
      </c>
      <c r="F1183" s="42" t="s">
        <v>140</v>
      </c>
      <c r="G1183" s="42" t="s">
        <v>141</v>
      </c>
      <c r="H1183" s="42" t="s">
        <v>150</v>
      </c>
      <c r="I1183" s="42"/>
      <c r="J1183" s="45" t="s">
        <v>147</v>
      </c>
      <c r="K1183" s="42" t="s">
        <v>78</v>
      </c>
      <c r="L1183" s="42" t="s">
        <v>335</v>
      </c>
      <c r="M1183" s="44" t="s">
        <v>1533</v>
      </c>
    </row>
    <row r="1184" spans="1:13" x14ac:dyDescent="0.35">
      <c r="A1184" s="42">
        <v>1305</v>
      </c>
      <c r="B1184" s="42" t="s">
        <v>136</v>
      </c>
      <c r="C1184" s="42" t="s">
        <v>137</v>
      </c>
      <c r="D1184" s="42" t="s">
        <v>159</v>
      </c>
      <c r="E1184" s="42" t="s">
        <v>274</v>
      </c>
      <c r="F1184" s="42" t="s">
        <v>140</v>
      </c>
      <c r="G1184" s="42" t="s">
        <v>141</v>
      </c>
      <c r="H1184" s="42" t="s">
        <v>150</v>
      </c>
      <c r="I1184" s="42"/>
      <c r="J1184" s="45" t="s">
        <v>147</v>
      </c>
      <c r="K1184" s="42" t="s">
        <v>210</v>
      </c>
      <c r="L1184" s="42" t="s">
        <v>210</v>
      </c>
      <c r="M1184" s="44" t="s">
        <v>1534</v>
      </c>
    </row>
    <row r="1185" spans="1:13" ht="25" x14ac:dyDescent="0.35">
      <c r="A1185" s="42">
        <v>1305</v>
      </c>
      <c r="B1185" s="42" t="s">
        <v>136</v>
      </c>
      <c r="C1185" s="42" t="s">
        <v>137</v>
      </c>
      <c r="D1185" s="42" t="s">
        <v>159</v>
      </c>
      <c r="E1185" s="42" t="s">
        <v>274</v>
      </c>
      <c r="F1185" s="42" t="s">
        <v>140</v>
      </c>
      <c r="G1185" s="42" t="s">
        <v>141</v>
      </c>
      <c r="H1185" s="42" t="s">
        <v>156</v>
      </c>
      <c r="I1185" s="42"/>
      <c r="J1185" s="43" t="s">
        <v>143</v>
      </c>
      <c r="K1185" s="42" t="s">
        <v>187</v>
      </c>
      <c r="L1185" s="42" t="s">
        <v>364</v>
      </c>
      <c r="M1185" s="44" t="s">
        <v>1535</v>
      </c>
    </row>
    <row r="1186" spans="1:13" x14ac:dyDescent="0.35">
      <c r="A1186" s="42">
        <v>1305</v>
      </c>
      <c r="B1186" s="42" t="s">
        <v>136</v>
      </c>
      <c r="C1186" s="42" t="s">
        <v>137</v>
      </c>
      <c r="D1186" s="42" t="s">
        <v>159</v>
      </c>
      <c r="E1186" s="42" t="s">
        <v>274</v>
      </c>
      <c r="F1186" s="42" t="s">
        <v>140</v>
      </c>
      <c r="G1186" s="42" t="s">
        <v>141</v>
      </c>
      <c r="H1186" s="42" t="s">
        <v>156</v>
      </c>
      <c r="I1186" s="42"/>
      <c r="J1186" s="43" t="s">
        <v>143</v>
      </c>
      <c r="K1186" s="42" t="s">
        <v>144</v>
      </c>
      <c r="L1186" s="42" t="s">
        <v>144</v>
      </c>
      <c r="M1186" s="44" t="s">
        <v>1536</v>
      </c>
    </row>
    <row r="1187" spans="1:13" ht="25" x14ac:dyDescent="0.35">
      <c r="A1187" s="42">
        <v>1305</v>
      </c>
      <c r="B1187" s="42" t="s">
        <v>136</v>
      </c>
      <c r="C1187" s="42" t="s">
        <v>137</v>
      </c>
      <c r="D1187" s="42" t="s">
        <v>159</v>
      </c>
      <c r="E1187" s="42" t="s">
        <v>274</v>
      </c>
      <c r="F1187" s="42" t="s">
        <v>140</v>
      </c>
      <c r="G1187" s="42" t="s">
        <v>141</v>
      </c>
      <c r="H1187" s="42" t="s">
        <v>156</v>
      </c>
      <c r="I1187" s="42"/>
      <c r="J1187" s="43" t="s">
        <v>143</v>
      </c>
      <c r="K1187" s="42" t="s">
        <v>196</v>
      </c>
      <c r="L1187" s="42" t="s">
        <v>517</v>
      </c>
      <c r="M1187" s="44" t="s">
        <v>1537</v>
      </c>
    </row>
    <row r="1188" spans="1:13" ht="25" x14ac:dyDescent="0.35">
      <c r="A1188" s="42">
        <v>1070</v>
      </c>
      <c r="B1188" s="42" t="s">
        <v>136</v>
      </c>
      <c r="C1188" s="42" t="s">
        <v>137</v>
      </c>
      <c r="D1188" s="42" t="s">
        <v>176</v>
      </c>
      <c r="E1188" s="42" t="s">
        <v>160</v>
      </c>
      <c r="F1188" s="42" t="s">
        <v>160</v>
      </c>
      <c r="G1188" s="42" t="s">
        <v>141</v>
      </c>
      <c r="H1188" s="42" t="s">
        <v>146</v>
      </c>
      <c r="I1188" s="42">
        <v>10</v>
      </c>
      <c r="J1188" s="45" t="s">
        <v>147</v>
      </c>
      <c r="K1188" s="42" t="s">
        <v>76</v>
      </c>
      <c r="L1188" s="42" t="s">
        <v>1538</v>
      </c>
      <c r="M1188" s="44" t="s">
        <v>1539</v>
      </c>
    </row>
    <row r="1189" spans="1:13" x14ac:dyDescent="0.35">
      <c r="A1189" s="42">
        <v>1070</v>
      </c>
      <c r="B1189" s="42" t="s">
        <v>136</v>
      </c>
      <c r="C1189" s="42" t="s">
        <v>137</v>
      </c>
      <c r="D1189" s="42" t="s">
        <v>176</v>
      </c>
      <c r="E1189" s="42" t="s">
        <v>160</v>
      </c>
      <c r="F1189" s="42" t="s">
        <v>160</v>
      </c>
      <c r="G1189" s="42" t="s">
        <v>141</v>
      </c>
      <c r="H1189" s="42" t="s">
        <v>150</v>
      </c>
      <c r="I1189" s="42"/>
      <c r="J1189" s="45" t="s">
        <v>147</v>
      </c>
      <c r="K1189" s="42" t="s">
        <v>144</v>
      </c>
      <c r="L1189" s="42" t="s">
        <v>294</v>
      </c>
      <c r="M1189" s="44" t="s">
        <v>1540</v>
      </c>
    </row>
    <row r="1190" spans="1:13" x14ac:dyDescent="0.35">
      <c r="A1190" s="42">
        <v>1070</v>
      </c>
      <c r="B1190" s="42" t="s">
        <v>136</v>
      </c>
      <c r="C1190" s="42" t="s">
        <v>137</v>
      </c>
      <c r="D1190" s="42" t="s">
        <v>176</v>
      </c>
      <c r="E1190" s="42" t="s">
        <v>160</v>
      </c>
      <c r="F1190" s="42" t="s">
        <v>160</v>
      </c>
      <c r="G1190" s="42" t="s">
        <v>141</v>
      </c>
      <c r="H1190" s="42" t="s">
        <v>150</v>
      </c>
      <c r="I1190" s="42"/>
      <c r="J1190" s="45" t="s">
        <v>147</v>
      </c>
      <c r="K1190" s="42" t="s">
        <v>76</v>
      </c>
      <c r="L1190" s="42" t="s">
        <v>482</v>
      </c>
      <c r="M1190" s="44" t="s">
        <v>1541</v>
      </c>
    </row>
    <row r="1191" spans="1:13" x14ac:dyDescent="0.35">
      <c r="A1191" s="42">
        <v>1070</v>
      </c>
      <c r="B1191" s="42" t="s">
        <v>136</v>
      </c>
      <c r="C1191" s="42" t="s">
        <v>137</v>
      </c>
      <c r="D1191" s="42" t="s">
        <v>176</v>
      </c>
      <c r="E1191" s="42" t="s">
        <v>160</v>
      </c>
      <c r="F1191" s="42" t="s">
        <v>160</v>
      </c>
      <c r="G1191" s="42" t="s">
        <v>141</v>
      </c>
      <c r="H1191" s="42" t="s">
        <v>150</v>
      </c>
      <c r="I1191" s="42"/>
      <c r="J1191" s="45" t="s">
        <v>147</v>
      </c>
      <c r="K1191" s="42" t="s">
        <v>196</v>
      </c>
      <c r="L1191" s="42" t="s">
        <v>517</v>
      </c>
      <c r="M1191" s="44" t="s">
        <v>1542</v>
      </c>
    </row>
    <row r="1192" spans="1:13" x14ac:dyDescent="0.35">
      <c r="A1192" s="42">
        <v>1070</v>
      </c>
      <c r="B1192" s="42" t="s">
        <v>136</v>
      </c>
      <c r="C1192" s="42" t="s">
        <v>137</v>
      </c>
      <c r="D1192" s="42" t="s">
        <v>176</v>
      </c>
      <c r="E1192" s="42" t="s">
        <v>160</v>
      </c>
      <c r="F1192" s="42" t="s">
        <v>160</v>
      </c>
      <c r="G1192" s="42" t="s">
        <v>141</v>
      </c>
      <c r="H1192" s="42" t="s">
        <v>156</v>
      </c>
      <c r="I1192" s="42"/>
      <c r="J1192" s="43" t="s">
        <v>143</v>
      </c>
      <c r="K1192" s="42" t="s">
        <v>144</v>
      </c>
      <c r="L1192" s="42" t="s">
        <v>144</v>
      </c>
      <c r="M1192" s="44" t="s">
        <v>1543</v>
      </c>
    </row>
    <row r="1193" spans="1:13" x14ac:dyDescent="0.35">
      <c r="A1193" s="42">
        <v>1070</v>
      </c>
      <c r="B1193" s="42" t="s">
        <v>136</v>
      </c>
      <c r="C1193" s="42" t="s">
        <v>137</v>
      </c>
      <c r="D1193" s="42" t="s">
        <v>176</v>
      </c>
      <c r="E1193" s="42" t="s">
        <v>160</v>
      </c>
      <c r="F1193" s="42" t="s">
        <v>160</v>
      </c>
      <c r="G1193" s="42" t="s">
        <v>141</v>
      </c>
      <c r="H1193" s="42" t="s">
        <v>156</v>
      </c>
      <c r="I1193" s="42"/>
      <c r="J1193" s="43" t="s">
        <v>143</v>
      </c>
      <c r="K1193" s="42" t="s">
        <v>210</v>
      </c>
      <c r="L1193" s="42" t="s">
        <v>210</v>
      </c>
      <c r="M1193" s="44" t="s">
        <v>1544</v>
      </c>
    </row>
    <row r="1194" spans="1:13" ht="25" x14ac:dyDescent="0.35">
      <c r="A1194" s="42">
        <v>1082</v>
      </c>
      <c r="B1194" s="42" t="s">
        <v>136</v>
      </c>
      <c r="C1194" s="42" t="s">
        <v>199</v>
      </c>
      <c r="D1194" s="42" t="s">
        <v>159</v>
      </c>
      <c r="E1194" s="42" t="s">
        <v>160</v>
      </c>
      <c r="F1194" s="42" t="s">
        <v>160</v>
      </c>
      <c r="G1194" s="42" t="s">
        <v>141</v>
      </c>
      <c r="H1194" s="42" t="s">
        <v>166</v>
      </c>
      <c r="I1194" s="42">
        <v>5</v>
      </c>
      <c r="J1194" s="43" t="s">
        <v>143</v>
      </c>
      <c r="K1194" s="42" t="s">
        <v>50</v>
      </c>
      <c r="L1194" s="42" t="s">
        <v>348</v>
      </c>
      <c r="M1194" s="44" t="s">
        <v>1545</v>
      </c>
    </row>
    <row r="1195" spans="1:13" x14ac:dyDescent="0.35">
      <c r="A1195" s="42">
        <v>1082</v>
      </c>
      <c r="B1195" s="42" t="s">
        <v>136</v>
      </c>
      <c r="C1195" s="42" t="s">
        <v>199</v>
      </c>
      <c r="D1195" s="42" t="s">
        <v>159</v>
      </c>
      <c r="E1195" s="42" t="s">
        <v>160</v>
      </c>
      <c r="F1195" s="42" t="s">
        <v>160</v>
      </c>
      <c r="G1195" s="42" t="s">
        <v>141</v>
      </c>
      <c r="H1195" s="42" t="s">
        <v>146</v>
      </c>
      <c r="I1195" s="42">
        <v>10</v>
      </c>
      <c r="J1195" s="45" t="s">
        <v>147</v>
      </c>
      <c r="K1195" s="42" t="s">
        <v>78</v>
      </c>
      <c r="L1195" s="42" t="s">
        <v>151</v>
      </c>
      <c r="M1195" s="44" t="s">
        <v>1546</v>
      </c>
    </row>
    <row r="1196" spans="1:13" x14ac:dyDescent="0.35">
      <c r="A1196" s="42">
        <v>1082</v>
      </c>
      <c r="B1196" s="42" t="s">
        <v>136</v>
      </c>
      <c r="C1196" s="42" t="s">
        <v>199</v>
      </c>
      <c r="D1196" s="42" t="s">
        <v>159</v>
      </c>
      <c r="E1196" s="42" t="s">
        <v>160</v>
      </c>
      <c r="F1196" s="42" t="s">
        <v>160</v>
      </c>
      <c r="G1196" s="42" t="s">
        <v>141</v>
      </c>
      <c r="H1196" s="42" t="s">
        <v>150</v>
      </c>
      <c r="I1196" s="42"/>
      <c r="J1196" s="45" t="s">
        <v>147</v>
      </c>
      <c r="K1196" s="42" t="s">
        <v>80</v>
      </c>
      <c r="L1196" s="42" t="s">
        <v>80</v>
      </c>
      <c r="M1196" s="44" t="s">
        <v>1547</v>
      </c>
    </row>
    <row r="1197" spans="1:13" x14ac:dyDescent="0.35">
      <c r="A1197" s="42">
        <v>1082</v>
      </c>
      <c r="B1197" s="42" t="s">
        <v>136</v>
      </c>
      <c r="C1197" s="42" t="s">
        <v>199</v>
      </c>
      <c r="D1197" s="42" t="s">
        <v>159</v>
      </c>
      <c r="E1197" s="42" t="s">
        <v>160</v>
      </c>
      <c r="F1197" s="42" t="s">
        <v>160</v>
      </c>
      <c r="G1197" s="42" t="s">
        <v>141</v>
      </c>
      <c r="H1197" s="42" t="s">
        <v>150</v>
      </c>
      <c r="I1197" s="42"/>
      <c r="J1197" s="45" t="s">
        <v>147</v>
      </c>
      <c r="K1197" s="42" t="s">
        <v>78</v>
      </c>
      <c r="L1197" s="42" t="s">
        <v>78</v>
      </c>
      <c r="M1197" s="44" t="s">
        <v>1548</v>
      </c>
    </row>
    <row r="1198" spans="1:13" x14ac:dyDescent="0.35">
      <c r="A1198" s="42">
        <v>1082</v>
      </c>
      <c r="B1198" s="42" t="s">
        <v>136</v>
      </c>
      <c r="C1198" s="42" t="s">
        <v>199</v>
      </c>
      <c r="D1198" s="42" t="s">
        <v>159</v>
      </c>
      <c r="E1198" s="42" t="s">
        <v>160</v>
      </c>
      <c r="F1198" s="42" t="s">
        <v>160</v>
      </c>
      <c r="G1198" s="42" t="s">
        <v>141</v>
      </c>
      <c r="H1198" s="42" t="s">
        <v>150</v>
      </c>
      <c r="I1198" s="42"/>
      <c r="J1198" s="45" t="s">
        <v>147</v>
      </c>
      <c r="K1198" s="42" t="s">
        <v>80</v>
      </c>
      <c r="L1198" s="42" t="s">
        <v>80</v>
      </c>
      <c r="M1198" s="44" t="s">
        <v>1549</v>
      </c>
    </row>
    <row r="1199" spans="1:13" x14ac:dyDescent="0.35">
      <c r="A1199" s="42">
        <v>1082</v>
      </c>
      <c r="B1199" s="42" t="s">
        <v>136</v>
      </c>
      <c r="C1199" s="42" t="s">
        <v>199</v>
      </c>
      <c r="D1199" s="42" t="s">
        <v>159</v>
      </c>
      <c r="E1199" s="42" t="s">
        <v>160</v>
      </c>
      <c r="F1199" s="42" t="s">
        <v>160</v>
      </c>
      <c r="G1199" s="42" t="s">
        <v>141</v>
      </c>
      <c r="H1199" s="42" t="s">
        <v>156</v>
      </c>
      <c r="I1199" s="42"/>
      <c r="J1199" s="43" t="s">
        <v>143</v>
      </c>
      <c r="K1199" s="42" t="s">
        <v>484</v>
      </c>
      <c r="L1199" s="42" t="s">
        <v>484</v>
      </c>
      <c r="M1199" s="44" t="s">
        <v>1550</v>
      </c>
    </row>
    <row r="1200" spans="1:13" x14ac:dyDescent="0.35">
      <c r="A1200" s="42">
        <v>1082</v>
      </c>
      <c r="B1200" s="42" t="s">
        <v>136</v>
      </c>
      <c r="C1200" s="42" t="s">
        <v>199</v>
      </c>
      <c r="D1200" s="42" t="s">
        <v>159</v>
      </c>
      <c r="E1200" s="42" t="s">
        <v>160</v>
      </c>
      <c r="F1200" s="42" t="s">
        <v>160</v>
      </c>
      <c r="G1200" s="42" t="s">
        <v>141</v>
      </c>
      <c r="H1200" s="42" t="s">
        <v>156</v>
      </c>
      <c r="I1200" s="42"/>
      <c r="J1200" s="43" t="s">
        <v>143</v>
      </c>
      <c r="K1200" s="42" t="s">
        <v>82</v>
      </c>
      <c r="L1200" s="42" t="s">
        <v>82</v>
      </c>
      <c r="M1200" s="44" t="s">
        <v>1551</v>
      </c>
    </row>
    <row r="1201" spans="1:13" x14ac:dyDescent="0.35">
      <c r="A1201" s="42">
        <v>1082</v>
      </c>
      <c r="B1201" s="42" t="s">
        <v>136</v>
      </c>
      <c r="C1201" s="42" t="s">
        <v>199</v>
      </c>
      <c r="D1201" s="42" t="s">
        <v>159</v>
      </c>
      <c r="E1201" s="42" t="s">
        <v>160</v>
      </c>
      <c r="F1201" s="42" t="s">
        <v>160</v>
      </c>
      <c r="G1201" s="42" t="s">
        <v>141</v>
      </c>
      <c r="H1201" s="42" t="s">
        <v>156</v>
      </c>
      <c r="I1201" s="42"/>
      <c r="J1201" s="43" t="s">
        <v>143</v>
      </c>
      <c r="K1201" s="42" t="s">
        <v>76</v>
      </c>
      <c r="L1201" s="42" t="s">
        <v>1552</v>
      </c>
      <c r="M1201" s="44" t="s">
        <v>1553</v>
      </c>
    </row>
    <row r="1202" spans="1:13" x14ac:dyDescent="0.35">
      <c r="A1202" s="42">
        <v>1099</v>
      </c>
      <c r="B1202" s="42" t="s">
        <v>175</v>
      </c>
      <c r="C1202" s="42" t="s">
        <v>137</v>
      </c>
      <c r="D1202" s="42" t="s">
        <v>159</v>
      </c>
      <c r="E1202" s="42" t="s">
        <v>160</v>
      </c>
      <c r="F1202" s="42" t="s">
        <v>160</v>
      </c>
      <c r="G1202" s="42" t="s">
        <v>141</v>
      </c>
      <c r="H1202" s="42" t="s">
        <v>146</v>
      </c>
      <c r="I1202" s="42">
        <v>10</v>
      </c>
      <c r="J1202" s="45" t="s">
        <v>147</v>
      </c>
      <c r="K1202" s="42" t="s">
        <v>190</v>
      </c>
      <c r="L1202" s="42" t="s">
        <v>190</v>
      </c>
      <c r="M1202" s="44" t="s">
        <v>1554</v>
      </c>
    </row>
    <row r="1203" spans="1:13" x14ac:dyDescent="0.35">
      <c r="A1203" s="42">
        <v>1099</v>
      </c>
      <c r="B1203" s="42" t="s">
        <v>175</v>
      </c>
      <c r="C1203" s="42" t="s">
        <v>137</v>
      </c>
      <c r="D1203" s="42" t="s">
        <v>159</v>
      </c>
      <c r="E1203" s="42" t="s">
        <v>160</v>
      </c>
      <c r="F1203" s="42" t="s">
        <v>160</v>
      </c>
      <c r="G1203" s="42" t="s">
        <v>141</v>
      </c>
      <c r="H1203" s="42" t="s">
        <v>150</v>
      </c>
      <c r="I1203" s="42"/>
      <c r="J1203" s="45" t="s">
        <v>147</v>
      </c>
      <c r="K1203" s="42" t="s">
        <v>190</v>
      </c>
      <c r="L1203" s="42" t="s">
        <v>190</v>
      </c>
      <c r="M1203" s="44" t="s">
        <v>1555</v>
      </c>
    </row>
    <row r="1204" spans="1:13" x14ac:dyDescent="0.35">
      <c r="A1204" s="42">
        <v>1320</v>
      </c>
      <c r="B1204" s="42" t="s">
        <v>136</v>
      </c>
      <c r="C1204" s="42" t="s">
        <v>199</v>
      </c>
      <c r="D1204" s="42" t="s">
        <v>159</v>
      </c>
      <c r="E1204" s="42" t="s">
        <v>206</v>
      </c>
      <c r="F1204" s="42" t="s">
        <v>206</v>
      </c>
      <c r="G1204" s="42" t="s">
        <v>141</v>
      </c>
      <c r="H1204" s="42" t="s">
        <v>163</v>
      </c>
      <c r="I1204" s="42"/>
      <c r="J1204" s="43" t="s">
        <v>143</v>
      </c>
      <c r="K1204" s="42" t="s">
        <v>196</v>
      </c>
      <c r="L1204" s="42" t="s">
        <v>196</v>
      </c>
      <c r="M1204" s="44" t="s">
        <v>1556</v>
      </c>
    </row>
    <row r="1205" spans="1:13" x14ac:dyDescent="0.35">
      <c r="A1205" s="42">
        <v>1320</v>
      </c>
      <c r="B1205" s="42" t="s">
        <v>136</v>
      </c>
      <c r="C1205" s="42" t="s">
        <v>199</v>
      </c>
      <c r="D1205" s="42" t="s">
        <v>159</v>
      </c>
      <c r="E1205" s="42" t="s">
        <v>206</v>
      </c>
      <c r="F1205" s="42" t="s">
        <v>206</v>
      </c>
      <c r="G1205" s="42" t="s">
        <v>141</v>
      </c>
      <c r="H1205" s="42" t="s">
        <v>166</v>
      </c>
      <c r="I1205" s="42">
        <v>5</v>
      </c>
      <c r="J1205" s="43" t="s">
        <v>143</v>
      </c>
      <c r="K1205" s="42" t="s">
        <v>268</v>
      </c>
      <c r="L1205" s="42" t="s">
        <v>268</v>
      </c>
      <c r="M1205" s="44" t="s">
        <v>1557</v>
      </c>
    </row>
    <row r="1206" spans="1:13" ht="50" x14ac:dyDescent="0.35">
      <c r="A1206" s="42">
        <v>1320</v>
      </c>
      <c r="B1206" s="42" t="s">
        <v>136</v>
      </c>
      <c r="C1206" s="42" t="s">
        <v>199</v>
      </c>
      <c r="D1206" s="42" t="s">
        <v>159</v>
      </c>
      <c r="E1206" s="42" t="s">
        <v>206</v>
      </c>
      <c r="F1206" s="42" t="s">
        <v>206</v>
      </c>
      <c r="G1206" s="42" t="s">
        <v>141</v>
      </c>
      <c r="H1206" s="42" t="s">
        <v>146</v>
      </c>
      <c r="I1206" s="42">
        <v>6</v>
      </c>
      <c r="J1206" s="43" t="s">
        <v>143</v>
      </c>
      <c r="K1206" s="42" t="s">
        <v>305</v>
      </c>
      <c r="L1206" s="42" t="s">
        <v>1358</v>
      </c>
      <c r="M1206" s="44" t="s">
        <v>1558</v>
      </c>
    </row>
    <row r="1207" spans="1:13" x14ac:dyDescent="0.35">
      <c r="A1207" s="42">
        <v>1320</v>
      </c>
      <c r="B1207" s="42" t="s">
        <v>136</v>
      </c>
      <c r="C1207" s="42" t="s">
        <v>199</v>
      </c>
      <c r="D1207" s="42" t="s">
        <v>159</v>
      </c>
      <c r="E1207" s="42" t="s">
        <v>206</v>
      </c>
      <c r="F1207" s="42" t="s">
        <v>206</v>
      </c>
      <c r="G1207" s="42" t="s">
        <v>141</v>
      </c>
      <c r="H1207" s="42" t="s">
        <v>156</v>
      </c>
      <c r="I1207" s="42"/>
      <c r="J1207" s="43" t="s">
        <v>143</v>
      </c>
      <c r="K1207" s="42" t="s">
        <v>210</v>
      </c>
      <c r="L1207" s="42" t="s">
        <v>210</v>
      </c>
      <c r="M1207" s="44" t="s">
        <v>1559</v>
      </c>
    </row>
    <row r="1208" spans="1:13" ht="25" x14ac:dyDescent="0.35">
      <c r="A1208" s="42">
        <v>1320</v>
      </c>
      <c r="B1208" s="42" t="s">
        <v>136</v>
      </c>
      <c r="C1208" s="42" t="s">
        <v>199</v>
      </c>
      <c r="D1208" s="42" t="s">
        <v>159</v>
      </c>
      <c r="E1208" s="42" t="s">
        <v>206</v>
      </c>
      <c r="F1208" s="42" t="s">
        <v>206</v>
      </c>
      <c r="G1208" s="42" t="s">
        <v>141</v>
      </c>
      <c r="H1208" s="42" t="s">
        <v>156</v>
      </c>
      <c r="I1208" s="42"/>
      <c r="J1208" s="43" t="s">
        <v>143</v>
      </c>
      <c r="K1208" s="42" t="s">
        <v>305</v>
      </c>
      <c r="L1208" s="42" t="s">
        <v>305</v>
      </c>
      <c r="M1208" s="44" t="s">
        <v>1560</v>
      </c>
    </row>
    <row r="1209" spans="1:13" ht="37.5" x14ac:dyDescent="0.35">
      <c r="A1209" s="42">
        <v>1177</v>
      </c>
      <c r="B1209" s="42" t="s">
        <v>175</v>
      </c>
      <c r="C1209" s="42" t="s">
        <v>137</v>
      </c>
      <c r="D1209" s="42" t="s">
        <v>159</v>
      </c>
      <c r="E1209" s="42" t="s">
        <v>160</v>
      </c>
      <c r="F1209" s="42" t="s">
        <v>160</v>
      </c>
      <c r="G1209" s="42" t="s">
        <v>141</v>
      </c>
      <c r="H1209" s="42" t="s">
        <v>163</v>
      </c>
      <c r="I1209" s="42"/>
      <c r="J1209" s="45" t="s">
        <v>147</v>
      </c>
      <c r="K1209" s="42" t="s">
        <v>187</v>
      </c>
      <c r="L1209" s="42" t="s">
        <v>1561</v>
      </c>
      <c r="M1209" s="44" t="s">
        <v>1562</v>
      </c>
    </row>
    <row r="1210" spans="1:13" ht="37.5" x14ac:dyDescent="0.35">
      <c r="A1210" s="42">
        <v>1177</v>
      </c>
      <c r="B1210" s="42" t="s">
        <v>175</v>
      </c>
      <c r="C1210" s="42" t="s">
        <v>137</v>
      </c>
      <c r="D1210" s="42" t="s">
        <v>159</v>
      </c>
      <c r="E1210" s="42" t="s">
        <v>160</v>
      </c>
      <c r="F1210" s="42" t="s">
        <v>160</v>
      </c>
      <c r="G1210" s="42" t="s">
        <v>141</v>
      </c>
      <c r="H1210" s="42" t="s">
        <v>146</v>
      </c>
      <c r="I1210" s="42">
        <v>10</v>
      </c>
      <c r="J1210" s="45" t="s">
        <v>147</v>
      </c>
      <c r="K1210" s="42" t="s">
        <v>144</v>
      </c>
      <c r="L1210" s="42" t="s">
        <v>1563</v>
      </c>
      <c r="M1210" s="44" t="s">
        <v>1564</v>
      </c>
    </row>
    <row r="1211" spans="1:13" x14ac:dyDescent="0.35">
      <c r="A1211" s="42">
        <v>1177</v>
      </c>
      <c r="B1211" s="42" t="s">
        <v>175</v>
      </c>
      <c r="C1211" s="42" t="s">
        <v>137</v>
      </c>
      <c r="D1211" s="42" t="s">
        <v>159</v>
      </c>
      <c r="E1211" s="42" t="s">
        <v>160</v>
      </c>
      <c r="F1211" s="42" t="s">
        <v>160</v>
      </c>
      <c r="G1211" s="42" t="s">
        <v>141</v>
      </c>
      <c r="H1211" s="42" t="s">
        <v>150</v>
      </c>
      <c r="I1211" s="42"/>
      <c r="J1211" s="45" t="s">
        <v>147</v>
      </c>
      <c r="K1211" s="42" t="s">
        <v>196</v>
      </c>
      <c r="L1211" s="42" t="s">
        <v>196</v>
      </c>
      <c r="M1211" s="44" t="s">
        <v>1565</v>
      </c>
    </row>
    <row r="1212" spans="1:13" x14ac:dyDescent="0.35">
      <c r="A1212" s="42">
        <v>1177</v>
      </c>
      <c r="B1212" s="42" t="s">
        <v>175</v>
      </c>
      <c r="C1212" s="42" t="s">
        <v>137</v>
      </c>
      <c r="D1212" s="42" t="s">
        <v>159</v>
      </c>
      <c r="E1212" s="42" t="s">
        <v>160</v>
      </c>
      <c r="F1212" s="42" t="s">
        <v>160</v>
      </c>
      <c r="G1212" s="42" t="s">
        <v>141</v>
      </c>
      <c r="H1212" s="42" t="s">
        <v>150</v>
      </c>
      <c r="I1212" s="42"/>
      <c r="J1212" s="45" t="s">
        <v>147</v>
      </c>
      <c r="K1212" s="42" t="s">
        <v>181</v>
      </c>
      <c r="L1212" s="42" t="s">
        <v>181</v>
      </c>
      <c r="M1212" s="44" t="s">
        <v>1566</v>
      </c>
    </row>
    <row r="1213" spans="1:13" x14ac:dyDescent="0.35">
      <c r="A1213" s="42">
        <v>1177</v>
      </c>
      <c r="B1213" s="42" t="s">
        <v>175</v>
      </c>
      <c r="C1213" s="42" t="s">
        <v>137</v>
      </c>
      <c r="D1213" s="42" t="s">
        <v>159</v>
      </c>
      <c r="E1213" s="42" t="s">
        <v>160</v>
      </c>
      <c r="F1213" s="42" t="s">
        <v>160</v>
      </c>
      <c r="G1213" s="42" t="s">
        <v>141</v>
      </c>
      <c r="H1213" s="42" t="s">
        <v>150</v>
      </c>
      <c r="I1213" s="42"/>
      <c r="J1213" s="45" t="s">
        <v>147</v>
      </c>
      <c r="K1213" s="42" t="s">
        <v>181</v>
      </c>
      <c r="L1213" s="42" t="s">
        <v>397</v>
      </c>
      <c r="M1213" s="44" t="s">
        <v>1567</v>
      </c>
    </row>
    <row r="1214" spans="1:13" ht="25" x14ac:dyDescent="0.35">
      <c r="A1214" s="42">
        <v>1177</v>
      </c>
      <c r="B1214" s="42" t="s">
        <v>175</v>
      </c>
      <c r="C1214" s="42" t="s">
        <v>137</v>
      </c>
      <c r="D1214" s="42" t="s">
        <v>159</v>
      </c>
      <c r="E1214" s="42" t="s">
        <v>160</v>
      </c>
      <c r="F1214" s="42" t="s">
        <v>160</v>
      </c>
      <c r="G1214" s="42" t="s">
        <v>141</v>
      </c>
      <c r="H1214" s="42" t="s">
        <v>156</v>
      </c>
      <c r="I1214" s="42"/>
      <c r="J1214" s="43" t="s">
        <v>143</v>
      </c>
      <c r="K1214" s="42" t="s">
        <v>144</v>
      </c>
      <c r="L1214" s="42" t="s">
        <v>164</v>
      </c>
      <c r="M1214" s="44" t="s">
        <v>1568</v>
      </c>
    </row>
    <row r="1215" spans="1:13" x14ac:dyDescent="0.35">
      <c r="A1215" s="42">
        <v>1186</v>
      </c>
      <c r="B1215" s="42" t="s">
        <v>136</v>
      </c>
      <c r="C1215" s="42" t="s">
        <v>137</v>
      </c>
      <c r="D1215" s="42" t="s">
        <v>159</v>
      </c>
      <c r="E1215" s="42" t="s">
        <v>160</v>
      </c>
      <c r="F1215" s="42" t="s">
        <v>160</v>
      </c>
      <c r="G1215" s="42" t="s">
        <v>141</v>
      </c>
      <c r="H1215" s="42" t="s">
        <v>146</v>
      </c>
      <c r="I1215" s="42">
        <v>10</v>
      </c>
      <c r="J1215" s="45" t="s">
        <v>147</v>
      </c>
      <c r="K1215" s="42" t="s">
        <v>78</v>
      </c>
      <c r="L1215" s="42" t="s">
        <v>78</v>
      </c>
      <c r="M1215" s="44" t="s">
        <v>1569</v>
      </c>
    </row>
    <row r="1216" spans="1:13" x14ac:dyDescent="0.35">
      <c r="A1216" s="42">
        <v>1186</v>
      </c>
      <c r="B1216" s="42" t="s">
        <v>136</v>
      </c>
      <c r="C1216" s="42" t="s">
        <v>137</v>
      </c>
      <c r="D1216" s="42" t="s">
        <v>159</v>
      </c>
      <c r="E1216" s="42" t="s">
        <v>160</v>
      </c>
      <c r="F1216" s="42" t="s">
        <v>160</v>
      </c>
      <c r="G1216" s="42" t="s">
        <v>141</v>
      </c>
      <c r="H1216" s="42" t="s">
        <v>150</v>
      </c>
      <c r="I1216" s="42"/>
      <c r="J1216" s="45" t="s">
        <v>147</v>
      </c>
      <c r="K1216" s="42" t="s">
        <v>196</v>
      </c>
      <c r="L1216" s="42" t="s">
        <v>196</v>
      </c>
      <c r="M1216" s="44" t="s">
        <v>1570</v>
      </c>
    </row>
    <row r="1217" spans="1:13" x14ac:dyDescent="0.35">
      <c r="A1217" s="42">
        <v>1186</v>
      </c>
      <c r="B1217" s="42" t="s">
        <v>136</v>
      </c>
      <c r="C1217" s="42" t="s">
        <v>137</v>
      </c>
      <c r="D1217" s="42" t="s">
        <v>159</v>
      </c>
      <c r="E1217" s="42" t="s">
        <v>160</v>
      </c>
      <c r="F1217" s="42" t="s">
        <v>160</v>
      </c>
      <c r="G1217" s="42" t="s">
        <v>141</v>
      </c>
      <c r="H1217" s="42" t="s">
        <v>150</v>
      </c>
      <c r="I1217" s="42"/>
      <c r="J1217" s="45" t="s">
        <v>147</v>
      </c>
      <c r="K1217" s="42" t="s">
        <v>196</v>
      </c>
      <c r="L1217" s="42" t="s">
        <v>196</v>
      </c>
      <c r="M1217" s="44" t="s">
        <v>1571</v>
      </c>
    </row>
    <row r="1218" spans="1:13" x14ac:dyDescent="0.35">
      <c r="A1218" s="42">
        <v>1186</v>
      </c>
      <c r="B1218" s="42" t="s">
        <v>136</v>
      </c>
      <c r="C1218" s="42" t="s">
        <v>137</v>
      </c>
      <c r="D1218" s="42" t="s">
        <v>159</v>
      </c>
      <c r="E1218" s="42" t="s">
        <v>160</v>
      </c>
      <c r="F1218" s="42" t="s">
        <v>160</v>
      </c>
      <c r="G1218" s="42" t="s">
        <v>141</v>
      </c>
      <c r="H1218" s="42" t="s">
        <v>150</v>
      </c>
      <c r="I1218" s="42"/>
      <c r="J1218" s="45" t="s">
        <v>147</v>
      </c>
      <c r="K1218" s="42" t="s">
        <v>190</v>
      </c>
      <c r="L1218" s="42" t="s">
        <v>190</v>
      </c>
      <c r="M1218" s="44" t="s">
        <v>1572</v>
      </c>
    </row>
    <row r="1219" spans="1:13" ht="50" x14ac:dyDescent="0.35">
      <c r="A1219" s="42">
        <v>1328</v>
      </c>
      <c r="B1219" s="42" t="s">
        <v>136</v>
      </c>
      <c r="C1219" s="42" t="s">
        <v>199</v>
      </c>
      <c r="D1219" s="42" t="s">
        <v>159</v>
      </c>
      <c r="E1219" s="42" t="s">
        <v>139</v>
      </c>
      <c r="F1219" s="42" t="s">
        <v>140</v>
      </c>
      <c r="G1219" s="42" t="s">
        <v>141</v>
      </c>
      <c r="H1219" s="42" t="s">
        <v>177</v>
      </c>
      <c r="I1219" s="42">
        <v>5</v>
      </c>
      <c r="J1219" s="43" t="s">
        <v>143</v>
      </c>
      <c r="K1219" s="42" t="s">
        <v>53</v>
      </c>
      <c r="L1219" s="42" t="s">
        <v>53</v>
      </c>
      <c r="M1219" s="44" t="s">
        <v>1573</v>
      </c>
    </row>
    <row r="1220" spans="1:13" ht="25" x14ac:dyDescent="0.35">
      <c r="A1220" s="42">
        <v>1328</v>
      </c>
      <c r="B1220" s="42" t="s">
        <v>136</v>
      </c>
      <c r="C1220" s="42" t="s">
        <v>199</v>
      </c>
      <c r="D1220" s="42" t="s">
        <v>159</v>
      </c>
      <c r="E1220" s="42" t="s">
        <v>139</v>
      </c>
      <c r="F1220" s="42" t="s">
        <v>140</v>
      </c>
      <c r="G1220" s="42" t="s">
        <v>141</v>
      </c>
      <c r="H1220" s="42" t="s">
        <v>146</v>
      </c>
      <c r="I1220" s="42">
        <v>5</v>
      </c>
      <c r="J1220" s="43" t="s">
        <v>143</v>
      </c>
      <c r="K1220" s="42" t="s">
        <v>305</v>
      </c>
      <c r="L1220" s="42" t="s">
        <v>736</v>
      </c>
      <c r="M1220" s="44" t="s">
        <v>1574</v>
      </c>
    </row>
    <row r="1221" spans="1:13" x14ac:dyDescent="0.35">
      <c r="A1221" s="42">
        <v>1328</v>
      </c>
      <c r="B1221" s="42" t="s">
        <v>136</v>
      </c>
      <c r="C1221" s="42" t="s">
        <v>199</v>
      </c>
      <c r="D1221" s="42" t="s">
        <v>159</v>
      </c>
      <c r="E1221" s="42" t="s">
        <v>139</v>
      </c>
      <c r="F1221" s="42" t="s">
        <v>140</v>
      </c>
      <c r="G1221" s="42" t="s">
        <v>141</v>
      </c>
      <c r="H1221" s="42" t="s">
        <v>150</v>
      </c>
      <c r="I1221" s="42"/>
      <c r="J1221" s="45" t="s">
        <v>147</v>
      </c>
      <c r="K1221" s="42" t="s">
        <v>78</v>
      </c>
      <c r="L1221" s="42" t="s">
        <v>78</v>
      </c>
      <c r="M1221" s="44" t="s">
        <v>1575</v>
      </c>
    </row>
    <row r="1222" spans="1:13" x14ac:dyDescent="0.35">
      <c r="A1222" s="42">
        <v>1328</v>
      </c>
      <c r="B1222" s="42" t="s">
        <v>136</v>
      </c>
      <c r="C1222" s="42" t="s">
        <v>199</v>
      </c>
      <c r="D1222" s="42" t="s">
        <v>159</v>
      </c>
      <c r="E1222" s="42" t="s">
        <v>139</v>
      </c>
      <c r="F1222" s="42" t="s">
        <v>140</v>
      </c>
      <c r="G1222" s="42" t="s">
        <v>141</v>
      </c>
      <c r="H1222" s="42" t="s">
        <v>150</v>
      </c>
      <c r="I1222" s="42"/>
      <c r="J1222" s="45" t="s">
        <v>147</v>
      </c>
      <c r="K1222" s="42" t="s">
        <v>78</v>
      </c>
      <c r="L1222" s="42" t="s">
        <v>78</v>
      </c>
      <c r="M1222" s="44" t="s">
        <v>1576</v>
      </c>
    </row>
    <row r="1223" spans="1:13" x14ac:dyDescent="0.35">
      <c r="A1223" s="42">
        <v>1328</v>
      </c>
      <c r="B1223" s="42" t="s">
        <v>136</v>
      </c>
      <c r="C1223" s="42" t="s">
        <v>199</v>
      </c>
      <c r="D1223" s="42" t="s">
        <v>159</v>
      </c>
      <c r="E1223" s="42" t="s">
        <v>139</v>
      </c>
      <c r="F1223" s="42" t="s">
        <v>140</v>
      </c>
      <c r="G1223" s="42" t="s">
        <v>141</v>
      </c>
      <c r="H1223" s="42" t="s">
        <v>156</v>
      </c>
      <c r="I1223" s="42"/>
      <c r="J1223" s="43" t="s">
        <v>143</v>
      </c>
      <c r="K1223" s="42" t="s">
        <v>484</v>
      </c>
      <c r="L1223" s="42" t="s">
        <v>1577</v>
      </c>
      <c r="M1223" s="44" t="s">
        <v>1578</v>
      </c>
    </row>
    <row r="1224" spans="1:13" ht="25" x14ac:dyDescent="0.35">
      <c r="A1224" s="42">
        <v>1332</v>
      </c>
      <c r="B1224" s="42" t="s">
        <v>136</v>
      </c>
      <c r="C1224" s="42" t="s">
        <v>137</v>
      </c>
      <c r="D1224" s="42" t="s">
        <v>176</v>
      </c>
      <c r="E1224" s="42" t="s">
        <v>139</v>
      </c>
      <c r="F1224" s="42" t="s">
        <v>140</v>
      </c>
      <c r="G1224" s="42" t="s">
        <v>141</v>
      </c>
      <c r="H1224" s="42" t="s">
        <v>166</v>
      </c>
      <c r="I1224" s="42">
        <v>4</v>
      </c>
      <c r="J1224" s="43" t="s">
        <v>143</v>
      </c>
      <c r="K1224" s="42" t="s">
        <v>196</v>
      </c>
      <c r="L1224" s="42" t="s">
        <v>252</v>
      </c>
      <c r="M1224" s="44" t="s">
        <v>1579</v>
      </c>
    </row>
    <row r="1225" spans="1:13" ht="25" x14ac:dyDescent="0.35">
      <c r="A1225" s="42">
        <v>1332</v>
      </c>
      <c r="B1225" s="42" t="s">
        <v>136</v>
      </c>
      <c r="C1225" s="42" t="s">
        <v>137</v>
      </c>
      <c r="D1225" s="42" t="s">
        <v>176</v>
      </c>
      <c r="E1225" s="42" t="s">
        <v>139</v>
      </c>
      <c r="F1225" s="42" t="s">
        <v>140</v>
      </c>
      <c r="G1225" s="42" t="s">
        <v>141</v>
      </c>
      <c r="H1225" s="42" t="s">
        <v>146</v>
      </c>
      <c r="I1225" s="42">
        <v>6</v>
      </c>
      <c r="J1225" s="43" t="s">
        <v>143</v>
      </c>
      <c r="K1225" s="42" t="s">
        <v>305</v>
      </c>
      <c r="L1225" s="42" t="s">
        <v>494</v>
      </c>
      <c r="M1225" s="44" t="s">
        <v>1580</v>
      </c>
    </row>
    <row r="1226" spans="1:13" x14ac:dyDescent="0.35">
      <c r="A1226" s="42">
        <v>1332</v>
      </c>
      <c r="B1226" s="42" t="s">
        <v>136</v>
      </c>
      <c r="C1226" s="42" t="s">
        <v>137</v>
      </c>
      <c r="D1226" s="42" t="s">
        <v>176</v>
      </c>
      <c r="E1226" s="42" t="s">
        <v>139</v>
      </c>
      <c r="F1226" s="42" t="s">
        <v>140</v>
      </c>
      <c r="G1226" s="42" t="s">
        <v>141</v>
      </c>
      <c r="H1226" s="42" t="s">
        <v>150</v>
      </c>
      <c r="I1226" s="42"/>
      <c r="J1226" s="45" t="s">
        <v>147</v>
      </c>
      <c r="K1226" s="42" t="s">
        <v>305</v>
      </c>
      <c r="L1226" s="42" t="s">
        <v>736</v>
      </c>
      <c r="M1226" s="44" t="s">
        <v>1581</v>
      </c>
    </row>
    <row r="1227" spans="1:13" x14ac:dyDescent="0.35">
      <c r="A1227" s="42">
        <v>1332</v>
      </c>
      <c r="B1227" s="42" t="s">
        <v>136</v>
      </c>
      <c r="C1227" s="42" t="s">
        <v>137</v>
      </c>
      <c r="D1227" s="42" t="s">
        <v>176</v>
      </c>
      <c r="E1227" s="42" t="s">
        <v>139</v>
      </c>
      <c r="F1227" s="42" t="s">
        <v>140</v>
      </c>
      <c r="G1227" s="42" t="s">
        <v>141</v>
      </c>
      <c r="H1227" s="42" t="s">
        <v>150</v>
      </c>
      <c r="I1227" s="42"/>
      <c r="J1227" s="45" t="s">
        <v>147</v>
      </c>
      <c r="K1227" s="42" t="s">
        <v>76</v>
      </c>
      <c r="L1227" s="42" t="s">
        <v>446</v>
      </c>
      <c r="M1227" s="44" t="s">
        <v>1582</v>
      </c>
    </row>
    <row r="1228" spans="1:13" x14ac:dyDescent="0.35">
      <c r="A1228" s="42">
        <v>1332</v>
      </c>
      <c r="B1228" s="42" t="s">
        <v>136</v>
      </c>
      <c r="C1228" s="42" t="s">
        <v>137</v>
      </c>
      <c r="D1228" s="42" t="s">
        <v>176</v>
      </c>
      <c r="E1228" s="42" t="s">
        <v>139</v>
      </c>
      <c r="F1228" s="42" t="s">
        <v>140</v>
      </c>
      <c r="G1228" s="42" t="s">
        <v>141</v>
      </c>
      <c r="H1228" s="42" t="s">
        <v>156</v>
      </c>
      <c r="I1228" s="42"/>
      <c r="J1228" s="43" t="s">
        <v>143</v>
      </c>
      <c r="K1228" s="42" t="s">
        <v>190</v>
      </c>
      <c r="L1228" s="42" t="s">
        <v>190</v>
      </c>
      <c r="M1228" s="44" t="s">
        <v>1583</v>
      </c>
    </row>
    <row r="1229" spans="1:13" ht="25" x14ac:dyDescent="0.35">
      <c r="A1229" s="42">
        <v>1335</v>
      </c>
      <c r="B1229" s="42" t="s">
        <v>136</v>
      </c>
      <c r="C1229" s="42" t="s">
        <v>137</v>
      </c>
      <c r="D1229" s="42" t="s">
        <v>219</v>
      </c>
      <c r="E1229" s="42" t="s">
        <v>206</v>
      </c>
      <c r="F1229" s="42" t="s">
        <v>206</v>
      </c>
      <c r="G1229" s="42" t="s">
        <v>141</v>
      </c>
      <c r="H1229" s="42" t="s">
        <v>163</v>
      </c>
      <c r="I1229" s="42"/>
      <c r="J1229" s="45" t="s">
        <v>147</v>
      </c>
      <c r="K1229" s="42" t="s">
        <v>196</v>
      </c>
      <c r="L1229" s="42" t="s">
        <v>1584</v>
      </c>
      <c r="M1229" s="44" t="s">
        <v>1585</v>
      </c>
    </row>
    <row r="1230" spans="1:13" ht="75" x14ac:dyDescent="0.35">
      <c r="A1230" s="42">
        <v>1335</v>
      </c>
      <c r="B1230" s="42" t="s">
        <v>136</v>
      </c>
      <c r="C1230" s="42" t="s">
        <v>137</v>
      </c>
      <c r="D1230" s="42" t="s">
        <v>219</v>
      </c>
      <c r="E1230" s="42" t="s">
        <v>206</v>
      </c>
      <c r="F1230" s="42" t="s">
        <v>206</v>
      </c>
      <c r="G1230" s="42" t="s">
        <v>141</v>
      </c>
      <c r="H1230" s="42" t="s">
        <v>146</v>
      </c>
      <c r="I1230" s="42">
        <v>10</v>
      </c>
      <c r="J1230" s="45" t="s">
        <v>147</v>
      </c>
      <c r="K1230" s="42" t="s">
        <v>184</v>
      </c>
      <c r="L1230" s="42" t="s">
        <v>1586</v>
      </c>
      <c r="M1230" s="44" t="s">
        <v>1587</v>
      </c>
    </row>
    <row r="1231" spans="1:13" x14ac:dyDescent="0.35">
      <c r="A1231" s="42">
        <v>1335</v>
      </c>
      <c r="B1231" s="42" t="s">
        <v>136</v>
      </c>
      <c r="C1231" s="42" t="s">
        <v>137</v>
      </c>
      <c r="D1231" s="42" t="s">
        <v>219</v>
      </c>
      <c r="E1231" s="42" t="s">
        <v>206</v>
      </c>
      <c r="F1231" s="42" t="s">
        <v>206</v>
      </c>
      <c r="G1231" s="42" t="s">
        <v>141</v>
      </c>
      <c r="H1231" s="42" t="s">
        <v>150</v>
      </c>
      <c r="I1231" s="42"/>
      <c r="J1231" s="45" t="s">
        <v>147</v>
      </c>
      <c r="K1231" s="42" t="s">
        <v>196</v>
      </c>
      <c r="L1231" s="42" t="s">
        <v>217</v>
      </c>
      <c r="M1231" s="44" t="s">
        <v>1588</v>
      </c>
    </row>
    <row r="1232" spans="1:13" x14ac:dyDescent="0.35">
      <c r="A1232" s="42">
        <v>1335</v>
      </c>
      <c r="B1232" s="42" t="s">
        <v>136</v>
      </c>
      <c r="C1232" s="42" t="s">
        <v>137</v>
      </c>
      <c r="D1232" s="42" t="s">
        <v>219</v>
      </c>
      <c r="E1232" s="42" t="s">
        <v>206</v>
      </c>
      <c r="F1232" s="42" t="s">
        <v>206</v>
      </c>
      <c r="G1232" s="42" t="s">
        <v>141</v>
      </c>
      <c r="H1232" s="42" t="s">
        <v>150</v>
      </c>
      <c r="I1232" s="42"/>
      <c r="J1232" s="45" t="s">
        <v>147</v>
      </c>
      <c r="K1232" s="42" t="s">
        <v>80</v>
      </c>
      <c r="L1232" s="42" t="s">
        <v>80</v>
      </c>
      <c r="M1232" s="44" t="s">
        <v>1589</v>
      </c>
    </row>
    <row r="1233" spans="1:13" x14ac:dyDescent="0.35">
      <c r="A1233" s="42">
        <v>1335</v>
      </c>
      <c r="B1233" s="42" t="s">
        <v>136</v>
      </c>
      <c r="C1233" s="42" t="s">
        <v>137</v>
      </c>
      <c r="D1233" s="42" t="s">
        <v>219</v>
      </c>
      <c r="E1233" s="42" t="s">
        <v>206</v>
      </c>
      <c r="F1233" s="42" t="s">
        <v>206</v>
      </c>
      <c r="G1233" s="42" t="s">
        <v>141</v>
      </c>
      <c r="H1233" s="42" t="s">
        <v>150</v>
      </c>
      <c r="I1233" s="42"/>
      <c r="J1233" s="45" t="s">
        <v>147</v>
      </c>
      <c r="K1233" s="42" t="s">
        <v>144</v>
      </c>
      <c r="L1233" s="42" t="s">
        <v>1590</v>
      </c>
      <c r="M1233" s="44" t="s">
        <v>1591</v>
      </c>
    </row>
    <row r="1234" spans="1:13" x14ac:dyDescent="0.35">
      <c r="A1234" s="42">
        <v>1335</v>
      </c>
      <c r="B1234" s="42" t="s">
        <v>136</v>
      </c>
      <c r="C1234" s="42" t="s">
        <v>137</v>
      </c>
      <c r="D1234" s="42" t="s">
        <v>219</v>
      </c>
      <c r="E1234" s="42" t="s">
        <v>206</v>
      </c>
      <c r="F1234" s="42" t="s">
        <v>206</v>
      </c>
      <c r="G1234" s="42" t="s">
        <v>141</v>
      </c>
      <c r="H1234" s="42" t="s">
        <v>156</v>
      </c>
      <c r="I1234" s="42"/>
      <c r="J1234" s="43" t="s">
        <v>143</v>
      </c>
      <c r="K1234" s="42" t="s">
        <v>184</v>
      </c>
      <c r="L1234" s="42" t="s">
        <v>184</v>
      </c>
      <c r="M1234" s="44" t="s">
        <v>1592</v>
      </c>
    </row>
    <row r="1235" spans="1:13" x14ac:dyDescent="0.35">
      <c r="A1235" s="42">
        <v>1335</v>
      </c>
      <c r="B1235" s="42" t="s">
        <v>136</v>
      </c>
      <c r="C1235" s="42" t="s">
        <v>137</v>
      </c>
      <c r="D1235" s="42" t="s">
        <v>219</v>
      </c>
      <c r="E1235" s="42" t="s">
        <v>206</v>
      </c>
      <c r="F1235" s="42" t="s">
        <v>206</v>
      </c>
      <c r="G1235" s="42" t="s">
        <v>141</v>
      </c>
      <c r="H1235" s="42" t="s">
        <v>156</v>
      </c>
      <c r="I1235" s="42"/>
      <c r="J1235" s="43" t="s">
        <v>143</v>
      </c>
      <c r="K1235" s="42" t="s">
        <v>196</v>
      </c>
      <c r="L1235" s="42" t="s">
        <v>196</v>
      </c>
      <c r="M1235" s="44" t="s">
        <v>1593</v>
      </c>
    </row>
    <row r="1236" spans="1:13" ht="25" x14ac:dyDescent="0.35">
      <c r="A1236" s="42">
        <v>1335</v>
      </c>
      <c r="B1236" s="42" t="s">
        <v>136</v>
      </c>
      <c r="C1236" s="42" t="s">
        <v>137</v>
      </c>
      <c r="D1236" s="42" t="s">
        <v>219</v>
      </c>
      <c r="E1236" s="42" t="s">
        <v>206</v>
      </c>
      <c r="F1236" s="42" t="s">
        <v>206</v>
      </c>
      <c r="G1236" s="42" t="s">
        <v>141</v>
      </c>
      <c r="H1236" s="42" t="s">
        <v>156</v>
      </c>
      <c r="I1236" s="42"/>
      <c r="J1236" s="43" t="s">
        <v>143</v>
      </c>
      <c r="K1236" s="42" t="s">
        <v>196</v>
      </c>
      <c r="L1236" s="42" t="s">
        <v>217</v>
      </c>
      <c r="M1236" s="44" t="s">
        <v>1594</v>
      </c>
    </row>
    <row r="1237" spans="1:13" x14ac:dyDescent="0.35">
      <c r="A1237" s="42">
        <v>1204</v>
      </c>
      <c r="B1237" s="42" t="s">
        <v>136</v>
      </c>
      <c r="C1237" s="42" t="s">
        <v>199</v>
      </c>
      <c r="D1237" s="42" t="s">
        <v>159</v>
      </c>
      <c r="E1237" s="42" t="s">
        <v>160</v>
      </c>
      <c r="F1237" s="42" t="s">
        <v>160</v>
      </c>
      <c r="G1237" s="42" t="s">
        <v>141</v>
      </c>
      <c r="H1237" s="42" t="s">
        <v>146</v>
      </c>
      <c r="I1237" s="42">
        <v>10</v>
      </c>
      <c r="J1237" s="45" t="s">
        <v>147</v>
      </c>
      <c r="K1237" s="42" t="s">
        <v>484</v>
      </c>
      <c r="L1237" s="42" t="s">
        <v>1595</v>
      </c>
      <c r="M1237" s="44" t="s">
        <v>1596</v>
      </c>
    </row>
    <row r="1238" spans="1:13" x14ac:dyDescent="0.35">
      <c r="A1238" s="42">
        <v>1204</v>
      </c>
      <c r="B1238" s="42" t="s">
        <v>136</v>
      </c>
      <c r="C1238" s="42" t="s">
        <v>199</v>
      </c>
      <c r="D1238" s="42" t="s">
        <v>159</v>
      </c>
      <c r="E1238" s="42" t="s">
        <v>160</v>
      </c>
      <c r="F1238" s="42" t="s">
        <v>160</v>
      </c>
      <c r="G1238" s="42" t="s">
        <v>141</v>
      </c>
      <c r="H1238" s="42" t="s">
        <v>150</v>
      </c>
      <c r="I1238" s="42"/>
      <c r="J1238" s="45" t="s">
        <v>147</v>
      </c>
      <c r="K1238" s="42" t="s">
        <v>210</v>
      </c>
      <c r="L1238" s="42" t="s">
        <v>210</v>
      </c>
      <c r="M1238" s="44" t="s">
        <v>1597</v>
      </c>
    </row>
    <row r="1239" spans="1:13" x14ac:dyDescent="0.35">
      <c r="A1239" s="42">
        <v>1204</v>
      </c>
      <c r="B1239" s="42" t="s">
        <v>136</v>
      </c>
      <c r="C1239" s="42" t="s">
        <v>199</v>
      </c>
      <c r="D1239" s="42" t="s">
        <v>159</v>
      </c>
      <c r="E1239" s="42" t="s">
        <v>160</v>
      </c>
      <c r="F1239" s="42" t="s">
        <v>160</v>
      </c>
      <c r="G1239" s="42" t="s">
        <v>141</v>
      </c>
      <c r="H1239" s="42" t="s">
        <v>150</v>
      </c>
      <c r="I1239" s="42"/>
      <c r="J1239" s="45" t="s">
        <v>147</v>
      </c>
      <c r="K1239" s="42" t="s">
        <v>78</v>
      </c>
      <c r="L1239" s="42" t="s">
        <v>78</v>
      </c>
      <c r="M1239" s="44" t="s">
        <v>1598</v>
      </c>
    </row>
    <row r="1240" spans="1:13" x14ac:dyDescent="0.35">
      <c r="A1240" s="42">
        <v>1204</v>
      </c>
      <c r="B1240" s="42" t="s">
        <v>136</v>
      </c>
      <c r="C1240" s="42" t="s">
        <v>199</v>
      </c>
      <c r="D1240" s="42" t="s">
        <v>159</v>
      </c>
      <c r="E1240" s="42" t="s">
        <v>160</v>
      </c>
      <c r="F1240" s="42" t="s">
        <v>160</v>
      </c>
      <c r="G1240" s="42" t="s">
        <v>141</v>
      </c>
      <c r="H1240" s="42" t="s">
        <v>150</v>
      </c>
      <c r="I1240" s="42"/>
      <c r="J1240" s="45" t="s">
        <v>147</v>
      </c>
      <c r="K1240" s="42" t="s">
        <v>78</v>
      </c>
      <c r="L1240" s="42" t="s">
        <v>78</v>
      </c>
      <c r="M1240" s="44" t="s">
        <v>1599</v>
      </c>
    </row>
    <row r="1241" spans="1:13" x14ac:dyDescent="0.35">
      <c r="A1241" s="42">
        <v>1204</v>
      </c>
      <c r="B1241" s="42" t="s">
        <v>136</v>
      </c>
      <c r="C1241" s="42" t="s">
        <v>199</v>
      </c>
      <c r="D1241" s="42" t="s">
        <v>159</v>
      </c>
      <c r="E1241" s="42" t="s">
        <v>160</v>
      </c>
      <c r="F1241" s="42" t="s">
        <v>160</v>
      </c>
      <c r="G1241" s="42" t="s">
        <v>141</v>
      </c>
      <c r="H1241" s="42" t="s">
        <v>156</v>
      </c>
      <c r="I1241" s="42"/>
      <c r="J1241" s="43" t="s">
        <v>143</v>
      </c>
      <c r="K1241" s="42" t="s">
        <v>210</v>
      </c>
      <c r="L1241" s="42" t="s">
        <v>210</v>
      </c>
      <c r="M1241" s="44" t="s">
        <v>1600</v>
      </c>
    </row>
    <row r="1242" spans="1:13" x14ac:dyDescent="0.35">
      <c r="A1242" s="42">
        <v>1307</v>
      </c>
      <c r="B1242" s="42" t="s">
        <v>136</v>
      </c>
      <c r="C1242" s="42" t="s">
        <v>199</v>
      </c>
      <c r="D1242" s="42" t="s">
        <v>159</v>
      </c>
      <c r="E1242" s="42" t="s">
        <v>160</v>
      </c>
      <c r="F1242" s="42" t="s">
        <v>160</v>
      </c>
      <c r="G1242" s="42" t="s">
        <v>141</v>
      </c>
      <c r="H1242" s="42" t="s">
        <v>146</v>
      </c>
      <c r="I1242" s="42">
        <v>10</v>
      </c>
      <c r="J1242" s="45" t="s">
        <v>147</v>
      </c>
      <c r="K1242" s="42" t="s">
        <v>144</v>
      </c>
      <c r="L1242" s="42" t="s">
        <v>670</v>
      </c>
      <c r="M1242" s="44" t="s">
        <v>1601</v>
      </c>
    </row>
    <row r="1243" spans="1:13" x14ac:dyDescent="0.35">
      <c r="A1243" s="42">
        <v>1307</v>
      </c>
      <c r="B1243" s="42" t="s">
        <v>136</v>
      </c>
      <c r="C1243" s="42" t="s">
        <v>199</v>
      </c>
      <c r="D1243" s="42" t="s">
        <v>159</v>
      </c>
      <c r="E1243" s="42" t="s">
        <v>160</v>
      </c>
      <c r="F1243" s="42" t="s">
        <v>160</v>
      </c>
      <c r="G1243" s="42" t="s">
        <v>141</v>
      </c>
      <c r="H1243" s="42" t="s">
        <v>150</v>
      </c>
      <c r="I1243" s="42"/>
      <c r="J1243" s="45" t="s">
        <v>147</v>
      </c>
      <c r="K1243" s="42" t="s">
        <v>210</v>
      </c>
      <c r="L1243" s="42" t="s">
        <v>210</v>
      </c>
      <c r="M1243" s="44" t="s">
        <v>1602</v>
      </c>
    </row>
    <row r="1244" spans="1:13" x14ac:dyDescent="0.35">
      <c r="A1244" s="42">
        <v>1307</v>
      </c>
      <c r="B1244" s="42" t="s">
        <v>136</v>
      </c>
      <c r="C1244" s="42" t="s">
        <v>199</v>
      </c>
      <c r="D1244" s="42" t="s">
        <v>159</v>
      </c>
      <c r="E1244" s="42" t="s">
        <v>160</v>
      </c>
      <c r="F1244" s="42" t="s">
        <v>160</v>
      </c>
      <c r="G1244" s="42" t="s">
        <v>141</v>
      </c>
      <c r="H1244" s="42" t="s">
        <v>150</v>
      </c>
      <c r="I1244" s="42"/>
      <c r="J1244" s="45" t="s">
        <v>147</v>
      </c>
      <c r="K1244" s="42" t="s">
        <v>190</v>
      </c>
      <c r="L1244" s="42" t="s">
        <v>190</v>
      </c>
      <c r="M1244" s="44" t="s">
        <v>1603</v>
      </c>
    </row>
    <row r="1245" spans="1:13" x14ac:dyDescent="0.35">
      <c r="A1245" s="42">
        <v>1307</v>
      </c>
      <c r="B1245" s="42" t="s">
        <v>136</v>
      </c>
      <c r="C1245" s="42" t="s">
        <v>199</v>
      </c>
      <c r="D1245" s="42" t="s">
        <v>159</v>
      </c>
      <c r="E1245" s="42" t="s">
        <v>160</v>
      </c>
      <c r="F1245" s="42" t="s">
        <v>160</v>
      </c>
      <c r="G1245" s="42" t="s">
        <v>141</v>
      </c>
      <c r="H1245" s="42" t="s">
        <v>150</v>
      </c>
      <c r="I1245" s="42"/>
      <c r="J1245" s="45" t="s">
        <v>147</v>
      </c>
      <c r="K1245" s="42" t="s">
        <v>181</v>
      </c>
      <c r="L1245" s="42" t="s">
        <v>181</v>
      </c>
      <c r="M1245" s="44" t="s">
        <v>1604</v>
      </c>
    </row>
    <row r="1246" spans="1:13" x14ac:dyDescent="0.35">
      <c r="A1246" s="42">
        <v>1307</v>
      </c>
      <c r="B1246" s="42" t="s">
        <v>136</v>
      </c>
      <c r="C1246" s="42" t="s">
        <v>199</v>
      </c>
      <c r="D1246" s="42" t="s">
        <v>159</v>
      </c>
      <c r="E1246" s="42" t="s">
        <v>160</v>
      </c>
      <c r="F1246" s="42" t="s">
        <v>160</v>
      </c>
      <c r="G1246" s="42" t="s">
        <v>141</v>
      </c>
      <c r="H1246" s="42" t="s">
        <v>156</v>
      </c>
      <c r="I1246" s="42"/>
      <c r="J1246" s="43" t="s">
        <v>143</v>
      </c>
      <c r="K1246" s="42" t="s">
        <v>190</v>
      </c>
      <c r="L1246" s="42" t="s">
        <v>190</v>
      </c>
      <c r="M1246" s="44" t="s">
        <v>1605</v>
      </c>
    </row>
    <row r="1247" spans="1:13" x14ac:dyDescent="0.35">
      <c r="A1247" s="42">
        <v>1307</v>
      </c>
      <c r="B1247" s="42" t="s">
        <v>136</v>
      </c>
      <c r="C1247" s="42" t="s">
        <v>199</v>
      </c>
      <c r="D1247" s="42" t="s">
        <v>159</v>
      </c>
      <c r="E1247" s="42" t="s">
        <v>160</v>
      </c>
      <c r="F1247" s="42" t="s">
        <v>160</v>
      </c>
      <c r="G1247" s="42" t="s">
        <v>141</v>
      </c>
      <c r="H1247" s="42" t="s">
        <v>156</v>
      </c>
      <c r="I1247" s="42"/>
      <c r="J1247" s="43" t="s">
        <v>143</v>
      </c>
      <c r="K1247" s="42" t="s">
        <v>80</v>
      </c>
      <c r="L1247" s="42" t="s">
        <v>80</v>
      </c>
      <c r="M1247" s="44" t="s">
        <v>1606</v>
      </c>
    </row>
    <row r="1248" spans="1:13" x14ac:dyDescent="0.35">
      <c r="A1248" s="42">
        <v>1351</v>
      </c>
      <c r="B1248" s="42" t="s">
        <v>175</v>
      </c>
      <c r="C1248" s="42" t="s">
        <v>199</v>
      </c>
      <c r="D1248" s="42" t="s">
        <v>176</v>
      </c>
      <c r="E1248" s="42" t="s">
        <v>160</v>
      </c>
      <c r="F1248" s="42" t="s">
        <v>160</v>
      </c>
      <c r="G1248" s="42" t="s">
        <v>141</v>
      </c>
      <c r="H1248" s="42" t="s">
        <v>146</v>
      </c>
      <c r="I1248" s="42">
        <v>10</v>
      </c>
      <c r="J1248" s="45" t="s">
        <v>147</v>
      </c>
      <c r="K1248" s="42" t="s">
        <v>210</v>
      </c>
      <c r="L1248" s="42" t="s">
        <v>210</v>
      </c>
      <c r="M1248" s="44" t="s">
        <v>1607</v>
      </c>
    </row>
    <row r="1249" spans="1:13" x14ac:dyDescent="0.35">
      <c r="A1249" s="42">
        <v>1351</v>
      </c>
      <c r="B1249" s="42" t="s">
        <v>175</v>
      </c>
      <c r="C1249" s="42" t="s">
        <v>199</v>
      </c>
      <c r="D1249" s="42" t="s">
        <v>176</v>
      </c>
      <c r="E1249" s="42" t="s">
        <v>160</v>
      </c>
      <c r="F1249" s="42" t="s">
        <v>160</v>
      </c>
      <c r="G1249" s="42" t="s">
        <v>141</v>
      </c>
      <c r="H1249" s="42" t="s">
        <v>150</v>
      </c>
      <c r="I1249" s="42"/>
      <c r="J1249" s="45" t="s">
        <v>147</v>
      </c>
      <c r="K1249" s="42" t="s">
        <v>190</v>
      </c>
      <c r="L1249" s="42" t="s">
        <v>190</v>
      </c>
      <c r="M1249" s="44" t="s">
        <v>1608</v>
      </c>
    </row>
    <row r="1250" spans="1:13" x14ac:dyDescent="0.35">
      <c r="A1250" s="42">
        <v>1351</v>
      </c>
      <c r="B1250" s="42" t="s">
        <v>175</v>
      </c>
      <c r="C1250" s="42" t="s">
        <v>199</v>
      </c>
      <c r="D1250" s="42" t="s">
        <v>176</v>
      </c>
      <c r="E1250" s="42" t="s">
        <v>160</v>
      </c>
      <c r="F1250" s="42" t="s">
        <v>160</v>
      </c>
      <c r="G1250" s="42" t="s">
        <v>141</v>
      </c>
      <c r="H1250" s="42" t="s">
        <v>150</v>
      </c>
      <c r="I1250" s="42"/>
      <c r="J1250" s="45" t="s">
        <v>147</v>
      </c>
      <c r="K1250" s="42" t="s">
        <v>181</v>
      </c>
      <c r="L1250" s="42" t="s">
        <v>181</v>
      </c>
      <c r="M1250" s="44" t="s">
        <v>1609</v>
      </c>
    </row>
    <row r="1251" spans="1:13" x14ac:dyDescent="0.35">
      <c r="A1251" s="42">
        <v>1351</v>
      </c>
      <c r="B1251" s="42" t="s">
        <v>175</v>
      </c>
      <c r="C1251" s="42" t="s">
        <v>199</v>
      </c>
      <c r="D1251" s="42" t="s">
        <v>176</v>
      </c>
      <c r="E1251" s="42" t="s">
        <v>160</v>
      </c>
      <c r="F1251" s="42" t="s">
        <v>160</v>
      </c>
      <c r="G1251" s="42" t="s">
        <v>141</v>
      </c>
      <c r="H1251" s="42" t="s">
        <v>150</v>
      </c>
      <c r="I1251" s="42"/>
      <c r="J1251" s="45" t="s">
        <v>147</v>
      </c>
      <c r="K1251" s="42" t="s">
        <v>78</v>
      </c>
      <c r="L1251" s="42" t="s">
        <v>78</v>
      </c>
      <c r="M1251" s="44" t="s">
        <v>1610</v>
      </c>
    </row>
    <row r="1252" spans="1:13" x14ac:dyDescent="0.35">
      <c r="A1252" s="42">
        <v>1351</v>
      </c>
      <c r="B1252" s="42" t="s">
        <v>175</v>
      </c>
      <c r="C1252" s="42" t="s">
        <v>199</v>
      </c>
      <c r="D1252" s="42" t="s">
        <v>176</v>
      </c>
      <c r="E1252" s="42" t="s">
        <v>160</v>
      </c>
      <c r="F1252" s="42" t="s">
        <v>160</v>
      </c>
      <c r="G1252" s="42" t="s">
        <v>141</v>
      </c>
      <c r="H1252" s="42" t="s">
        <v>156</v>
      </c>
      <c r="I1252" s="42"/>
      <c r="J1252" s="43" t="s">
        <v>143</v>
      </c>
      <c r="K1252" s="42" t="s">
        <v>210</v>
      </c>
      <c r="L1252" s="42" t="s">
        <v>210</v>
      </c>
      <c r="M1252" s="44" t="s">
        <v>1611</v>
      </c>
    </row>
    <row r="1253" spans="1:13" x14ac:dyDescent="0.35">
      <c r="A1253" s="42">
        <v>1342</v>
      </c>
      <c r="B1253" s="42" t="s">
        <v>136</v>
      </c>
      <c r="C1253" s="42" t="s">
        <v>137</v>
      </c>
      <c r="D1253" s="42" t="s">
        <v>138</v>
      </c>
      <c r="E1253" s="42" t="s">
        <v>139</v>
      </c>
      <c r="F1253" s="42" t="s">
        <v>140</v>
      </c>
      <c r="G1253" s="42" t="s">
        <v>141</v>
      </c>
      <c r="H1253" s="42" t="s">
        <v>146</v>
      </c>
      <c r="I1253" s="42">
        <v>10</v>
      </c>
      <c r="J1253" s="45" t="s">
        <v>147</v>
      </c>
      <c r="K1253" s="42" t="s">
        <v>78</v>
      </c>
      <c r="L1253" s="42" t="s">
        <v>335</v>
      </c>
      <c r="M1253" s="44" t="s">
        <v>1612</v>
      </c>
    </row>
    <row r="1254" spans="1:13" x14ac:dyDescent="0.35">
      <c r="A1254" s="42">
        <v>1342</v>
      </c>
      <c r="B1254" s="42" t="s">
        <v>136</v>
      </c>
      <c r="C1254" s="42" t="s">
        <v>137</v>
      </c>
      <c r="D1254" s="42" t="s">
        <v>138</v>
      </c>
      <c r="E1254" s="42" t="s">
        <v>139</v>
      </c>
      <c r="F1254" s="42" t="s">
        <v>140</v>
      </c>
      <c r="G1254" s="42" t="s">
        <v>141</v>
      </c>
      <c r="H1254" s="42" t="s">
        <v>150</v>
      </c>
      <c r="I1254" s="42"/>
      <c r="J1254" s="45" t="s">
        <v>147</v>
      </c>
      <c r="K1254" s="42" t="s">
        <v>196</v>
      </c>
      <c r="L1254" s="42" t="s">
        <v>252</v>
      </c>
      <c r="M1254" s="44" t="s">
        <v>1613</v>
      </c>
    </row>
    <row r="1255" spans="1:13" x14ac:dyDescent="0.35">
      <c r="A1255" s="42">
        <v>1342</v>
      </c>
      <c r="B1255" s="42" t="s">
        <v>136</v>
      </c>
      <c r="C1255" s="42" t="s">
        <v>137</v>
      </c>
      <c r="D1255" s="42" t="s">
        <v>138</v>
      </c>
      <c r="E1255" s="42" t="s">
        <v>139</v>
      </c>
      <c r="F1255" s="42" t="s">
        <v>140</v>
      </c>
      <c r="G1255" s="42" t="s">
        <v>141</v>
      </c>
      <c r="H1255" s="42" t="s">
        <v>150</v>
      </c>
      <c r="I1255" s="42"/>
      <c r="J1255" s="45" t="s">
        <v>147</v>
      </c>
      <c r="K1255" s="42" t="s">
        <v>196</v>
      </c>
      <c r="L1255" s="42" t="s">
        <v>196</v>
      </c>
      <c r="M1255" s="44" t="s">
        <v>1614</v>
      </c>
    </row>
    <row r="1256" spans="1:13" ht="25" x14ac:dyDescent="0.35">
      <c r="A1256" s="42">
        <v>1342</v>
      </c>
      <c r="B1256" s="42" t="s">
        <v>136</v>
      </c>
      <c r="C1256" s="42" t="s">
        <v>137</v>
      </c>
      <c r="D1256" s="42" t="s">
        <v>138</v>
      </c>
      <c r="E1256" s="42" t="s">
        <v>139</v>
      </c>
      <c r="F1256" s="42" t="s">
        <v>140</v>
      </c>
      <c r="G1256" s="42" t="s">
        <v>141</v>
      </c>
      <c r="H1256" s="42" t="s">
        <v>156</v>
      </c>
      <c r="I1256" s="42"/>
      <c r="J1256" s="43" t="s">
        <v>143</v>
      </c>
      <c r="K1256" s="42" t="s">
        <v>144</v>
      </c>
      <c r="L1256" s="42" t="s">
        <v>144</v>
      </c>
      <c r="M1256" s="44" t="s">
        <v>1615</v>
      </c>
    </row>
    <row r="1257" spans="1:13" x14ac:dyDescent="0.35">
      <c r="A1257" s="42">
        <v>1342</v>
      </c>
      <c r="B1257" s="42" t="s">
        <v>136</v>
      </c>
      <c r="C1257" s="42" t="s">
        <v>137</v>
      </c>
      <c r="D1257" s="42" t="s">
        <v>138</v>
      </c>
      <c r="E1257" s="42" t="s">
        <v>139</v>
      </c>
      <c r="F1257" s="42" t="s">
        <v>140</v>
      </c>
      <c r="G1257" s="42" t="s">
        <v>141</v>
      </c>
      <c r="H1257" s="42" t="s">
        <v>156</v>
      </c>
      <c r="I1257" s="42"/>
      <c r="J1257" s="43" t="s">
        <v>143</v>
      </c>
      <c r="K1257" s="42" t="s">
        <v>196</v>
      </c>
      <c r="L1257" s="42" t="s">
        <v>517</v>
      </c>
      <c r="M1257" s="44" t="s">
        <v>1616</v>
      </c>
    </row>
    <row r="1258" spans="1:13" ht="25" x14ac:dyDescent="0.35">
      <c r="A1258" s="42">
        <v>1343</v>
      </c>
      <c r="B1258" s="42" t="s">
        <v>136</v>
      </c>
      <c r="C1258" s="42" t="s">
        <v>199</v>
      </c>
      <c r="D1258" s="42" t="s">
        <v>219</v>
      </c>
      <c r="E1258" s="42" t="s">
        <v>206</v>
      </c>
      <c r="F1258" s="42" t="s">
        <v>206</v>
      </c>
      <c r="G1258" s="42" t="s">
        <v>141</v>
      </c>
      <c r="H1258" s="42" t="s">
        <v>142</v>
      </c>
      <c r="I1258" s="42">
        <v>5</v>
      </c>
      <c r="J1258" s="43" t="s">
        <v>143</v>
      </c>
      <c r="K1258" s="42" t="s">
        <v>184</v>
      </c>
      <c r="L1258" s="42" t="s">
        <v>208</v>
      </c>
      <c r="M1258" s="44" t="s">
        <v>1617</v>
      </c>
    </row>
    <row r="1259" spans="1:13" ht="37.5" x14ac:dyDescent="0.35">
      <c r="A1259" s="42">
        <v>1343</v>
      </c>
      <c r="B1259" s="42" t="s">
        <v>136</v>
      </c>
      <c r="C1259" s="42" t="s">
        <v>199</v>
      </c>
      <c r="D1259" s="42" t="s">
        <v>219</v>
      </c>
      <c r="E1259" s="42" t="s">
        <v>206</v>
      </c>
      <c r="F1259" s="42" t="s">
        <v>206</v>
      </c>
      <c r="G1259" s="42" t="s">
        <v>141</v>
      </c>
      <c r="H1259" s="42" t="s">
        <v>166</v>
      </c>
      <c r="I1259" s="42">
        <v>3</v>
      </c>
      <c r="J1259" s="43" t="s">
        <v>143</v>
      </c>
      <c r="K1259" s="42" t="s">
        <v>50</v>
      </c>
      <c r="L1259" s="42" t="s">
        <v>1618</v>
      </c>
      <c r="M1259" s="44" t="s">
        <v>1619</v>
      </c>
    </row>
    <row r="1260" spans="1:13" ht="25" x14ac:dyDescent="0.35">
      <c r="A1260" s="42">
        <v>1343</v>
      </c>
      <c r="B1260" s="42" t="s">
        <v>136</v>
      </c>
      <c r="C1260" s="42" t="s">
        <v>199</v>
      </c>
      <c r="D1260" s="42" t="s">
        <v>219</v>
      </c>
      <c r="E1260" s="42" t="s">
        <v>206</v>
      </c>
      <c r="F1260" s="42" t="s">
        <v>206</v>
      </c>
      <c r="G1260" s="42" t="s">
        <v>141</v>
      </c>
      <c r="H1260" s="42" t="s">
        <v>180</v>
      </c>
      <c r="I1260" s="42">
        <v>4</v>
      </c>
      <c r="J1260" s="43" t="s">
        <v>143</v>
      </c>
      <c r="K1260" s="42" t="s">
        <v>196</v>
      </c>
      <c r="L1260" s="42" t="s">
        <v>196</v>
      </c>
      <c r="M1260" s="44" t="s">
        <v>1620</v>
      </c>
    </row>
    <row r="1261" spans="1:13" x14ac:dyDescent="0.35">
      <c r="A1261" s="42">
        <v>1343</v>
      </c>
      <c r="B1261" s="42" t="s">
        <v>136</v>
      </c>
      <c r="C1261" s="42" t="s">
        <v>199</v>
      </c>
      <c r="D1261" s="42" t="s">
        <v>219</v>
      </c>
      <c r="E1261" s="42" t="s">
        <v>206</v>
      </c>
      <c r="F1261" s="42" t="s">
        <v>206</v>
      </c>
      <c r="G1261" s="42" t="s">
        <v>141</v>
      </c>
      <c r="H1261" s="42" t="s">
        <v>183</v>
      </c>
      <c r="I1261" s="42">
        <v>4</v>
      </c>
      <c r="J1261" s="43" t="s">
        <v>143</v>
      </c>
      <c r="K1261" s="42" t="s">
        <v>144</v>
      </c>
      <c r="L1261" s="42" t="s">
        <v>144</v>
      </c>
      <c r="M1261" s="44" t="s">
        <v>1621</v>
      </c>
    </row>
    <row r="1262" spans="1:13" x14ac:dyDescent="0.35">
      <c r="A1262" s="42">
        <v>1343</v>
      </c>
      <c r="B1262" s="42" t="s">
        <v>136</v>
      </c>
      <c r="C1262" s="42" t="s">
        <v>199</v>
      </c>
      <c r="D1262" s="42" t="s">
        <v>219</v>
      </c>
      <c r="E1262" s="42" t="s">
        <v>206</v>
      </c>
      <c r="F1262" s="42" t="s">
        <v>206</v>
      </c>
      <c r="G1262" s="42" t="s">
        <v>141</v>
      </c>
      <c r="H1262" s="42" t="s">
        <v>146</v>
      </c>
      <c r="I1262" s="42">
        <v>7</v>
      </c>
      <c r="J1262" s="46" t="s">
        <v>222</v>
      </c>
      <c r="K1262" s="42" t="s">
        <v>210</v>
      </c>
      <c r="L1262" s="42" t="s">
        <v>210</v>
      </c>
      <c r="M1262" s="44" t="s">
        <v>1622</v>
      </c>
    </row>
    <row r="1263" spans="1:13" x14ac:dyDescent="0.35">
      <c r="A1263" s="42">
        <v>1343</v>
      </c>
      <c r="B1263" s="42" t="s">
        <v>136</v>
      </c>
      <c r="C1263" s="42" t="s">
        <v>199</v>
      </c>
      <c r="D1263" s="42" t="s">
        <v>219</v>
      </c>
      <c r="E1263" s="42" t="s">
        <v>206</v>
      </c>
      <c r="F1263" s="42" t="s">
        <v>206</v>
      </c>
      <c r="G1263" s="42" t="s">
        <v>141</v>
      </c>
      <c r="H1263" s="42" t="s">
        <v>150</v>
      </c>
      <c r="I1263" s="42"/>
      <c r="J1263" s="45" t="s">
        <v>147</v>
      </c>
      <c r="K1263" s="42" t="s">
        <v>210</v>
      </c>
      <c r="L1263" s="42" t="s">
        <v>210</v>
      </c>
      <c r="M1263" s="44" t="s">
        <v>1623</v>
      </c>
    </row>
    <row r="1264" spans="1:13" x14ac:dyDescent="0.35">
      <c r="A1264" s="42">
        <v>1343</v>
      </c>
      <c r="B1264" s="42" t="s">
        <v>136</v>
      </c>
      <c r="C1264" s="42" t="s">
        <v>199</v>
      </c>
      <c r="D1264" s="42" t="s">
        <v>219</v>
      </c>
      <c r="E1264" s="42" t="s">
        <v>206</v>
      </c>
      <c r="F1264" s="42" t="s">
        <v>206</v>
      </c>
      <c r="G1264" s="42" t="s">
        <v>141</v>
      </c>
      <c r="H1264" s="42" t="s">
        <v>150</v>
      </c>
      <c r="I1264" s="42"/>
      <c r="J1264" s="45" t="s">
        <v>147</v>
      </c>
      <c r="K1264" s="42" t="s">
        <v>76</v>
      </c>
      <c r="L1264" s="42" t="s">
        <v>76</v>
      </c>
      <c r="M1264" s="44" t="s">
        <v>1624</v>
      </c>
    </row>
    <row r="1265" spans="1:13" x14ac:dyDescent="0.35">
      <c r="A1265" s="42">
        <v>1343</v>
      </c>
      <c r="B1265" s="42" t="s">
        <v>136</v>
      </c>
      <c r="C1265" s="42" t="s">
        <v>199</v>
      </c>
      <c r="D1265" s="42" t="s">
        <v>219</v>
      </c>
      <c r="E1265" s="42" t="s">
        <v>206</v>
      </c>
      <c r="F1265" s="42" t="s">
        <v>206</v>
      </c>
      <c r="G1265" s="42" t="s">
        <v>141</v>
      </c>
      <c r="H1265" s="42" t="s">
        <v>150</v>
      </c>
      <c r="I1265" s="42"/>
      <c r="J1265" s="45" t="s">
        <v>147</v>
      </c>
      <c r="K1265" s="42" t="s">
        <v>210</v>
      </c>
      <c r="L1265" s="42" t="s">
        <v>210</v>
      </c>
      <c r="M1265" s="44" t="s">
        <v>1625</v>
      </c>
    </row>
    <row r="1266" spans="1:13" x14ac:dyDescent="0.35">
      <c r="A1266" s="42">
        <v>1343</v>
      </c>
      <c r="B1266" s="42" t="s">
        <v>136</v>
      </c>
      <c r="C1266" s="42" t="s">
        <v>199</v>
      </c>
      <c r="D1266" s="42" t="s">
        <v>219</v>
      </c>
      <c r="E1266" s="42" t="s">
        <v>206</v>
      </c>
      <c r="F1266" s="42" t="s">
        <v>206</v>
      </c>
      <c r="G1266" s="42" t="s">
        <v>141</v>
      </c>
      <c r="H1266" s="42" t="s">
        <v>156</v>
      </c>
      <c r="I1266" s="42"/>
      <c r="J1266" s="43" t="s">
        <v>143</v>
      </c>
      <c r="K1266" s="42" t="s">
        <v>78</v>
      </c>
      <c r="L1266" s="42" t="s">
        <v>335</v>
      </c>
      <c r="M1266" s="44" t="s">
        <v>1626</v>
      </c>
    </row>
    <row r="1267" spans="1:13" x14ac:dyDescent="0.35">
      <c r="A1267" s="42">
        <v>1343</v>
      </c>
      <c r="B1267" s="42" t="s">
        <v>136</v>
      </c>
      <c r="C1267" s="42" t="s">
        <v>199</v>
      </c>
      <c r="D1267" s="42" t="s">
        <v>219</v>
      </c>
      <c r="E1267" s="42" t="s">
        <v>206</v>
      </c>
      <c r="F1267" s="42" t="s">
        <v>206</v>
      </c>
      <c r="G1267" s="42" t="s">
        <v>141</v>
      </c>
      <c r="H1267" s="42" t="s">
        <v>156</v>
      </c>
      <c r="I1267" s="42"/>
      <c r="J1267" s="43" t="s">
        <v>143</v>
      </c>
      <c r="K1267" s="42" t="s">
        <v>196</v>
      </c>
      <c r="L1267" s="42" t="s">
        <v>196</v>
      </c>
      <c r="M1267" s="44" t="s">
        <v>1627</v>
      </c>
    </row>
    <row r="1268" spans="1:13" x14ac:dyDescent="0.35">
      <c r="A1268" s="42">
        <v>1343</v>
      </c>
      <c r="B1268" s="42" t="s">
        <v>136</v>
      </c>
      <c r="C1268" s="42" t="s">
        <v>199</v>
      </c>
      <c r="D1268" s="42" t="s">
        <v>219</v>
      </c>
      <c r="E1268" s="42" t="s">
        <v>206</v>
      </c>
      <c r="F1268" s="42" t="s">
        <v>206</v>
      </c>
      <c r="G1268" s="42" t="s">
        <v>141</v>
      </c>
      <c r="H1268" s="42" t="s">
        <v>156</v>
      </c>
      <c r="I1268" s="42"/>
      <c r="J1268" s="43" t="s">
        <v>143</v>
      </c>
      <c r="K1268" s="42" t="s">
        <v>144</v>
      </c>
      <c r="L1268" s="42" t="s">
        <v>144</v>
      </c>
      <c r="M1268" s="44" t="s">
        <v>1628</v>
      </c>
    </row>
    <row r="1269" spans="1:13" ht="25" x14ac:dyDescent="0.35">
      <c r="A1269" s="42">
        <v>1344</v>
      </c>
      <c r="B1269" s="42" t="s">
        <v>175</v>
      </c>
      <c r="C1269" s="42" t="s">
        <v>137</v>
      </c>
      <c r="D1269" s="42" t="s">
        <v>138</v>
      </c>
      <c r="E1269" s="42" t="s">
        <v>206</v>
      </c>
      <c r="F1269" s="42" t="s">
        <v>206</v>
      </c>
      <c r="G1269" s="42" t="s">
        <v>141</v>
      </c>
      <c r="H1269" s="42" t="s">
        <v>146</v>
      </c>
      <c r="I1269" s="42">
        <v>8</v>
      </c>
      <c r="J1269" s="46" t="s">
        <v>222</v>
      </c>
      <c r="K1269" s="42" t="s">
        <v>305</v>
      </c>
      <c r="L1269" s="42" t="s">
        <v>1629</v>
      </c>
      <c r="M1269" s="44" t="s">
        <v>1630</v>
      </c>
    </row>
    <row r="1270" spans="1:13" x14ac:dyDescent="0.35">
      <c r="A1270" s="42">
        <v>1344</v>
      </c>
      <c r="B1270" s="42" t="s">
        <v>175</v>
      </c>
      <c r="C1270" s="42" t="s">
        <v>137</v>
      </c>
      <c r="D1270" s="42" t="s">
        <v>138</v>
      </c>
      <c r="E1270" s="42" t="s">
        <v>206</v>
      </c>
      <c r="F1270" s="42" t="s">
        <v>206</v>
      </c>
      <c r="G1270" s="42" t="s">
        <v>141</v>
      </c>
      <c r="H1270" s="42" t="s">
        <v>150</v>
      </c>
      <c r="I1270" s="42"/>
      <c r="J1270" s="45" t="s">
        <v>147</v>
      </c>
      <c r="K1270" s="42" t="s">
        <v>210</v>
      </c>
      <c r="L1270" s="42" t="s">
        <v>210</v>
      </c>
      <c r="M1270" s="44" t="s">
        <v>1631</v>
      </c>
    </row>
    <row r="1271" spans="1:13" x14ac:dyDescent="0.35">
      <c r="A1271" s="42">
        <v>1344</v>
      </c>
      <c r="B1271" s="42" t="s">
        <v>175</v>
      </c>
      <c r="C1271" s="42" t="s">
        <v>137</v>
      </c>
      <c r="D1271" s="42" t="s">
        <v>138</v>
      </c>
      <c r="E1271" s="42" t="s">
        <v>206</v>
      </c>
      <c r="F1271" s="42" t="s">
        <v>206</v>
      </c>
      <c r="G1271" s="42" t="s">
        <v>141</v>
      </c>
      <c r="H1271" s="42" t="s">
        <v>150</v>
      </c>
      <c r="I1271" s="42"/>
      <c r="J1271" s="45" t="s">
        <v>147</v>
      </c>
      <c r="K1271" s="42" t="s">
        <v>78</v>
      </c>
      <c r="L1271" s="42" t="s">
        <v>151</v>
      </c>
      <c r="M1271" s="44" t="s">
        <v>1632</v>
      </c>
    </row>
    <row r="1272" spans="1:13" x14ac:dyDescent="0.35">
      <c r="A1272" s="42">
        <v>1344</v>
      </c>
      <c r="B1272" s="42" t="s">
        <v>175</v>
      </c>
      <c r="C1272" s="42" t="s">
        <v>137</v>
      </c>
      <c r="D1272" s="42" t="s">
        <v>138</v>
      </c>
      <c r="E1272" s="42" t="s">
        <v>206</v>
      </c>
      <c r="F1272" s="42" t="s">
        <v>206</v>
      </c>
      <c r="G1272" s="42" t="s">
        <v>141</v>
      </c>
      <c r="H1272" s="42" t="s">
        <v>150</v>
      </c>
      <c r="I1272" s="42"/>
      <c r="J1272" s="45" t="s">
        <v>147</v>
      </c>
      <c r="K1272" s="42" t="s">
        <v>210</v>
      </c>
      <c r="L1272" s="42" t="s">
        <v>210</v>
      </c>
      <c r="M1272" s="44" t="s">
        <v>1633</v>
      </c>
    </row>
    <row r="1273" spans="1:13" x14ac:dyDescent="0.35">
      <c r="A1273" s="42">
        <v>1344</v>
      </c>
      <c r="B1273" s="42" t="s">
        <v>175</v>
      </c>
      <c r="C1273" s="42" t="s">
        <v>137</v>
      </c>
      <c r="D1273" s="42" t="s">
        <v>138</v>
      </c>
      <c r="E1273" s="42" t="s">
        <v>206</v>
      </c>
      <c r="F1273" s="42" t="s">
        <v>206</v>
      </c>
      <c r="G1273" s="42" t="s">
        <v>141</v>
      </c>
      <c r="H1273" s="42" t="s">
        <v>156</v>
      </c>
      <c r="I1273" s="42"/>
      <c r="J1273" s="43" t="s">
        <v>143</v>
      </c>
      <c r="K1273" s="42" t="s">
        <v>305</v>
      </c>
      <c r="L1273" s="42" t="s">
        <v>305</v>
      </c>
      <c r="M1273" s="44" t="s">
        <v>694</v>
      </c>
    </row>
    <row r="1274" spans="1:13" x14ac:dyDescent="0.35">
      <c r="A1274" s="42">
        <v>1344</v>
      </c>
      <c r="B1274" s="42" t="s">
        <v>175</v>
      </c>
      <c r="C1274" s="42" t="s">
        <v>137</v>
      </c>
      <c r="D1274" s="42" t="s">
        <v>138</v>
      </c>
      <c r="E1274" s="42" t="s">
        <v>206</v>
      </c>
      <c r="F1274" s="42" t="s">
        <v>206</v>
      </c>
      <c r="G1274" s="42" t="s">
        <v>141</v>
      </c>
      <c r="H1274" s="42" t="s">
        <v>156</v>
      </c>
      <c r="I1274" s="42"/>
      <c r="J1274" s="43" t="s">
        <v>143</v>
      </c>
      <c r="K1274" s="42" t="s">
        <v>196</v>
      </c>
      <c r="L1274" s="42" t="s">
        <v>217</v>
      </c>
      <c r="M1274" s="44" t="s">
        <v>1634</v>
      </c>
    </row>
    <row r="1275" spans="1:13" x14ac:dyDescent="0.35">
      <c r="A1275" s="42">
        <v>1344</v>
      </c>
      <c r="B1275" s="42" t="s">
        <v>175</v>
      </c>
      <c r="C1275" s="42" t="s">
        <v>137</v>
      </c>
      <c r="D1275" s="42" t="s">
        <v>138</v>
      </c>
      <c r="E1275" s="42" t="s">
        <v>206</v>
      </c>
      <c r="F1275" s="42" t="s">
        <v>206</v>
      </c>
      <c r="G1275" s="42" t="s">
        <v>141</v>
      </c>
      <c r="H1275" s="42" t="s">
        <v>156</v>
      </c>
      <c r="I1275" s="42"/>
      <c r="J1275" s="43" t="s">
        <v>143</v>
      </c>
      <c r="K1275" s="42" t="s">
        <v>190</v>
      </c>
      <c r="L1275" s="42" t="s">
        <v>190</v>
      </c>
      <c r="M1275" s="44" t="s">
        <v>1635</v>
      </c>
    </row>
    <row r="1276" spans="1:13" x14ac:dyDescent="0.35">
      <c r="A1276" s="42">
        <v>1361</v>
      </c>
      <c r="B1276" s="42" t="s">
        <v>136</v>
      </c>
      <c r="C1276" s="42" t="s">
        <v>199</v>
      </c>
      <c r="D1276" s="42" t="s">
        <v>219</v>
      </c>
      <c r="E1276" s="42" t="s">
        <v>160</v>
      </c>
      <c r="F1276" s="42" t="s">
        <v>160</v>
      </c>
      <c r="G1276" s="42" t="s">
        <v>141</v>
      </c>
      <c r="H1276" s="42" t="s">
        <v>146</v>
      </c>
      <c r="I1276" s="42">
        <v>10</v>
      </c>
      <c r="J1276" s="45" t="s">
        <v>147</v>
      </c>
      <c r="K1276" s="42" t="s">
        <v>144</v>
      </c>
      <c r="L1276" s="42" t="s">
        <v>1636</v>
      </c>
      <c r="M1276" s="44" t="s">
        <v>1637</v>
      </c>
    </row>
    <row r="1277" spans="1:13" x14ac:dyDescent="0.35">
      <c r="A1277" s="42">
        <v>1361</v>
      </c>
      <c r="B1277" s="42" t="s">
        <v>136</v>
      </c>
      <c r="C1277" s="42" t="s">
        <v>199</v>
      </c>
      <c r="D1277" s="42" t="s">
        <v>219</v>
      </c>
      <c r="E1277" s="42" t="s">
        <v>160</v>
      </c>
      <c r="F1277" s="42" t="s">
        <v>160</v>
      </c>
      <c r="G1277" s="42" t="s">
        <v>141</v>
      </c>
      <c r="H1277" s="42" t="s">
        <v>150</v>
      </c>
      <c r="I1277" s="42"/>
      <c r="J1277" s="45" t="s">
        <v>147</v>
      </c>
      <c r="K1277" s="42" t="s">
        <v>80</v>
      </c>
      <c r="L1277" s="42" t="s">
        <v>80</v>
      </c>
      <c r="M1277" s="44" t="s">
        <v>1638</v>
      </c>
    </row>
    <row r="1278" spans="1:13" x14ac:dyDescent="0.35">
      <c r="A1278" s="42">
        <v>1361</v>
      </c>
      <c r="B1278" s="42" t="s">
        <v>136</v>
      </c>
      <c r="C1278" s="42" t="s">
        <v>199</v>
      </c>
      <c r="D1278" s="42" t="s">
        <v>219</v>
      </c>
      <c r="E1278" s="42" t="s">
        <v>160</v>
      </c>
      <c r="F1278" s="42" t="s">
        <v>160</v>
      </c>
      <c r="G1278" s="42" t="s">
        <v>141</v>
      </c>
      <c r="H1278" s="42" t="s">
        <v>150</v>
      </c>
      <c r="I1278" s="42"/>
      <c r="J1278" s="45" t="s">
        <v>147</v>
      </c>
      <c r="K1278" s="42" t="s">
        <v>80</v>
      </c>
      <c r="L1278" s="42" t="s">
        <v>80</v>
      </c>
      <c r="M1278" s="44" t="s">
        <v>1639</v>
      </c>
    </row>
    <row r="1279" spans="1:13" x14ac:dyDescent="0.35">
      <c r="A1279" s="42">
        <v>1361</v>
      </c>
      <c r="B1279" s="42" t="s">
        <v>136</v>
      </c>
      <c r="C1279" s="42" t="s">
        <v>199</v>
      </c>
      <c r="D1279" s="42" t="s">
        <v>219</v>
      </c>
      <c r="E1279" s="42" t="s">
        <v>160</v>
      </c>
      <c r="F1279" s="42" t="s">
        <v>160</v>
      </c>
      <c r="G1279" s="42" t="s">
        <v>141</v>
      </c>
      <c r="H1279" s="42" t="s">
        <v>150</v>
      </c>
      <c r="I1279" s="42"/>
      <c r="J1279" s="45" t="s">
        <v>147</v>
      </c>
      <c r="K1279" s="42" t="s">
        <v>78</v>
      </c>
      <c r="L1279" s="42" t="s">
        <v>78</v>
      </c>
      <c r="M1279" s="44" t="s">
        <v>1640</v>
      </c>
    </row>
    <row r="1280" spans="1:13" x14ac:dyDescent="0.35">
      <c r="A1280" s="42">
        <v>1361</v>
      </c>
      <c r="B1280" s="42" t="s">
        <v>136</v>
      </c>
      <c r="C1280" s="42" t="s">
        <v>199</v>
      </c>
      <c r="D1280" s="42" t="s">
        <v>219</v>
      </c>
      <c r="E1280" s="42" t="s">
        <v>160</v>
      </c>
      <c r="F1280" s="42" t="s">
        <v>160</v>
      </c>
      <c r="G1280" s="42" t="s">
        <v>141</v>
      </c>
      <c r="H1280" s="42" t="s">
        <v>156</v>
      </c>
      <c r="I1280" s="42"/>
      <c r="J1280" s="43" t="s">
        <v>143</v>
      </c>
      <c r="K1280" s="42" t="s">
        <v>76</v>
      </c>
      <c r="L1280" s="42" t="s">
        <v>446</v>
      </c>
      <c r="M1280" s="44" t="s">
        <v>1641</v>
      </c>
    </row>
    <row r="1281" spans="1:13" x14ac:dyDescent="0.35">
      <c r="A1281" s="42">
        <v>1361</v>
      </c>
      <c r="B1281" s="42" t="s">
        <v>136</v>
      </c>
      <c r="C1281" s="42" t="s">
        <v>199</v>
      </c>
      <c r="D1281" s="42" t="s">
        <v>219</v>
      </c>
      <c r="E1281" s="42" t="s">
        <v>160</v>
      </c>
      <c r="F1281" s="42" t="s">
        <v>160</v>
      </c>
      <c r="G1281" s="42" t="s">
        <v>141</v>
      </c>
      <c r="H1281" s="42" t="s">
        <v>156</v>
      </c>
      <c r="I1281" s="42"/>
      <c r="J1281" s="43" t="s">
        <v>143</v>
      </c>
      <c r="K1281" s="42" t="s">
        <v>190</v>
      </c>
      <c r="L1281" s="42" t="s">
        <v>190</v>
      </c>
      <c r="M1281" s="44" t="s">
        <v>1642</v>
      </c>
    </row>
    <row r="1282" spans="1:13" x14ac:dyDescent="0.35">
      <c r="A1282" s="42">
        <v>1361</v>
      </c>
      <c r="B1282" s="42" t="s">
        <v>136</v>
      </c>
      <c r="C1282" s="42" t="s">
        <v>199</v>
      </c>
      <c r="D1282" s="42" t="s">
        <v>219</v>
      </c>
      <c r="E1282" s="42" t="s">
        <v>160</v>
      </c>
      <c r="F1282" s="42" t="s">
        <v>160</v>
      </c>
      <c r="G1282" s="42" t="s">
        <v>141</v>
      </c>
      <c r="H1282" s="42" t="s">
        <v>156</v>
      </c>
      <c r="I1282" s="42"/>
      <c r="J1282" s="43" t="s">
        <v>143</v>
      </c>
      <c r="K1282" s="42" t="s">
        <v>76</v>
      </c>
      <c r="L1282" s="42" t="s">
        <v>446</v>
      </c>
      <c r="M1282" s="44" t="s">
        <v>1643</v>
      </c>
    </row>
    <row r="1283" spans="1:13" ht="37.5" x14ac:dyDescent="0.35">
      <c r="A1283" s="42">
        <v>1354</v>
      </c>
      <c r="B1283" s="42" t="s">
        <v>175</v>
      </c>
      <c r="C1283" s="42" t="s">
        <v>199</v>
      </c>
      <c r="D1283" s="42" t="s">
        <v>159</v>
      </c>
      <c r="E1283" s="42" t="s">
        <v>206</v>
      </c>
      <c r="F1283" s="42" t="s">
        <v>206</v>
      </c>
      <c r="G1283" s="42" t="s">
        <v>141</v>
      </c>
      <c r="H1283" s="42" t="s">
        <v>146</v>
      </c>
      <c r="I1283" s="42">
        <v>10</v>
      </c>
      <c r="J1283" s="45" t="s">
        <v>147</v>
      </c>
      <c r="K1283" s="42" t="s">
        <v>181</v>
      </c>
      <c r="L1283" s="42" t="s">
        <v>1644</v>
      </c>
      <c r="M1283" s="44" t="s">
        <v>1645</v>
      </c>
    </row>
    <row r="1284" spans="1:13" x14ac:dyDescent="0.35">
      <c r="A1284" s="42">
        <v>1354</v>
      </c>
      <c r="B1284" s="42" t="s">
        <v>175</v>
      </c>
      <c r="C1284" s="42" t="s">
        <v>199</v>
      </c>
      <c r="D1284" s="42" t="s">
        <v>159</v>
      </c>
      <c r="E1284" s="42" t="s">
        <v>206</v>
      </c>
      <c r="F1284" s="42" t="s">
        <v>206</v>
      </c>
      <c r="G1284" s="42" t="s">
        <v>141</v>
      </c>
      <c r="H1284" s="42" t="s">
        <v>150</v>
      </c>
      <c r="I1284" s="42"/>
      <c r="J1284" s="45" t="s">
        <v>147</v>
      </c>
      <c r="K1284" s="42" t="s">
        <v>181</v>
      </c>
      <c r="L1284" s="42" t="s">
        <v>181</v>
      </c>
      <c r="M1284" s="44" t="s">
        <v>1646</v>
      </c>
    </row>
    <row r="1285" spans="1:13" x14ac:dyDescent="0.35">
      <c r="A1285" s="42">
        <v>1354</v>
      </c>
      <c r="B1285" s="42" t="s">
        <v>175</v>
      </c>
      <c r="C1285" s="42" t="s">
        <v>199</v>
      </c>
      <c r="D1285" s="42" t="s">
        <v>159</v>
      </c>
      <c r="E1285" s="42" t="s">
        <v>206</v>
      </c>
      <c r="F1285" s="42" t="s">
        <v>206</v>
      </c>
      <c r="G1285" s="42" t="s">
        <v>141</v>
      </c>
      <c r="H1285" s="42" t="s">
        <v>150</v>
      </c>
      <c r="I1285" s="42"/>
      <c r="J1285" s="45" t="s">
        <v>147</v>
      </c>
      <c r="K1285" s="42" t="s">
        <v>190</v>
      </c>
      <c r="L1285" s="42" t="s">
        <v>190</v>
      </c>
      <c r="M1285" s="44" t="s">
        <v>1647</v>
      </c>
    </row>
    <row r="1286" spans="1:13" x14ac:dyDescent="0.35">
      <c r="A1286" s="42">
        <v>1354</v>
      </c>
      <c r="B1286" s="42" t="s">
        <v>175</v>
      </c>
      <c r="C1286" s="42" t="s">
        <v>199</v>
      </c>
      <c r="D1286" s="42" t="s">
        <v>159</v>
      </c>
      <c r="E1286" s="42" t="s">
        <v>206</v>
      </c>
      <c r="F1286" s="42" t="s">
        <v>206</v>
      </c>
      <c r="G1286" s="42" t="s">
        <v>141</v>
      </c>
      <c r="H1286" s="42" t="s">
        <v>150</v>
      </c>
      <c r="I1286" s="42"/>
      <c r="J1286" s="45" t="s">
        <v>147</v>
      </c>
      <c r="K1286" s="42" t="s">
        <v>181</v>
      </c>
      <c r="L1286" s="42" t="s">
        <v>181</v>
      </c>
      <c r="M1286" s="44" t="s">
        <v>300</v>
      </c>
    </row>
    <row r="1287" spans="1:13" x14ac:dyDescent="0.35">
      <c r="A1287" s="42">
        <v>1354</v>
      </c>
      <c r="B1287" s="42" t="s">
        <v>175</v>
      </c>
      <c r="C1287" s="42" t="s">
        <v>199</v>
      </c>
      <c r="D1287" s="42" t="s">
        <v>159</v>
      </c>
      <c r="E1287" s="42" t="s">
        <v>206</v>
      </c>
      <c r="F1287" s="42" t="s">
        <v>206</v>
      </c>
      <c r="G1287" s="42" t="s">
        <v>141</v>
      </c>
      <c r="H1287" s="42" t="s">
        <v>156</v>
      </c>
      <c r="I1287" s="42"/>
      <c r="J1287" s="43" t="s">
        <v>143</v>
      </c>
      <c r="K1287" s="42" t="s">
        <v>144</v>
      </c>
      <c r="L1287" s="42" t="s">
        <v>144</v>
      </c>
      <c r="M1287" s="44" t="s">
        <v>273</v>
      </c>
    </row>
    <row r="1288" spans="1:13" x14ac:dyDescent="0.35">
      <c r="A1288" s="42">
        <v>1354</v>
      </c>
      <c r="B1288" s="42" t="s">
        <v>175</v>
      </c>
      <c r="C1288" s="42" t="s">
        <v>199</v>
      </c>
      <c r="D1288" s="42" t="s">
        <v>159</v>
      </c>
      <c r="E1288" s="42" t="s">
        <v>206</v>
      </c>
      <c r="F1288" s="42" t="s">
        <v>206</v>
      </c>
      <c r="G1288" s="42" t="s">
        <v>141</v>
      </c>
      <c r="H1288" s="42" t="s">
        <v>156</v>
      </c>
      <c r="I1288" s="42"/>
      <c r="J1288" s="43" t="s">
        <v>143</v>
      </c>
      <c r="K1288" s="42" t="s">
        <v>144</v>
      </c>
      <c r="L1288" s="42" t="s">
        <v>144</v>
      </c>
      <c r="M1288" s="44" t="s">
        <v>1648</v>
      </c>
    </row>
    <row r="1289" spans="1:13" x14ac:dyDescent="0.35">
      <c r="A1289" s="42">
        <v>1356</v>
      </c>
      <c r="B1289" s="42" t="s">
        <v>136</v>
      </c>
      <c r="C1289" s="42" t="s">
        <v>199</v>
      </c>
      <c r="D1289" s="42" t="s">
        <v>159</v>
      </c>
      <c r="E1289" s="42" t="s">
        <v>206</v>
      </c>
      <c r="F1289" s="42" t="s">
        <v>206</v>
      </c>
      <c r="G1289" s="42" t="s">
        <v>141</v>
      </c>
      <c r="H1289" s="42" t="s">
        <v>386</v>
      </c>
      <c r="I1289" s="42">
        <v>6</v>
      </c>
      <c r="J1289" s="43" t="s">
        <v>143</v>
      </c>
      <c r="K1289" s="42" t="s">
        <v>76</v>
      </c>
      <c r="L1289" s="42" t="s">
        <v>1649</v>
      </c>
      <c r="M1289" s="44" t="s">
        <v>1650</v>
      </c>
    </row>
    <row r="1290" spans="1:13" ht="50" x14ac:dyDescent="0.35">
      <c r="A1290" s="42">
        <v>1356</v>
      </c>
      <c r="B1290" s="42" t="s">
        <v>136</v>
      </c>
      <c r="C1290" s="42" t="s">
        <v>199</v>
      </c>
      <c r="D1290" s="42" t="s">
        <v>159</v>
      </c>
      <c r="E1290" s="42" t="s">
        <v>206</v>
      </c>
      <c r="F1290" s="42" t="s">
        <v>206</v>
      </c>
      <c r="G1290" s="42" t="s">
        <v>141</v>
      </c>
      <c r="H1290" s="42" t="s">
        <v>142</v>
      </c>
      <c r="I1290" s="42">
        <v>5</v>
      </c>
      <c r="J1290" s="43" t="s">
        <v>143</v>
      </c>
      <c r="K1290" s="42" t="s">
        <v>50</v>
      </c>
      <c r="L1290" s="42" t="s">
        <v>1651</v>
      </c>
      <c r="M1290" s="44" t="s">
        <v>1652</v>
      </c>
    </row>
    <row r="1291" spans="1:13" x14ac:dyDescent="0.35">
      <c r="A1291" s="42">
        <v>1356</v>
      </c>
      <c r="B1291" s="42" t="s">
        <v>136</v>
      </c>
      <c r="C1291" s="42" t="s">
        <v>199</v>
      </c>
      <c r="D1291" s="42" t="s">
        <v>159</v>
      </c>
      <c r="E1291" s="42" t="s">
        <v>206</v>
      </c>
      <c r="F1291" s="42" t="s">
        <v>206</v>
      </c>
      <c r="G1291" s="42" t="s">
        <v>141</v>
      </c>
      <c r="H1291" s="42" t="s">
        <v>146</v>
      </c>
      <c r="I1291" s="42">
        <v>8</v>
      </c>
      <c r="J1291" s="46" t="s">
        <v>222</v>
      </c>
      <c r="K1291" s="42" t="s">
        <v>144</v>
      </c>
      <c r="L1291" s="42" t="s">
        <v>548</v>
      </c>
      <c r="M1291" s="44" t="s">
        <v>1653</v>
      </c>
    </row>
    <row r="1292" spans="1:13" x14ac:dyDescent="0.35">
      <c r="A1292" s="42">
        <v>1356</v>
      </c>
      <c r="B1292" s="42" t="s">
        <v>136</v>
      </c>
      <c r="C1292" s="42" t="s">
        <v>199</v>
      </c>
      <c r="D1292" s="42" t="s">
        <v>159</v>
      </c>
      <c r="E1292" s="42" t="s">
        <v>206</v>
      </c>
      <c r="F1292" s="42" t="s">
        <v>206</v>
      </c>
      <c r="G1292" s="42" t="s">
        <v>141</v>
      </c>
      <c r="H1292" s="42" t="s">
        <v>150</v>
      </c>
      <c r="I1292" s="42"/>
      <c r="J1292" s="45" t="s">
        <v>147</v>
      </c>
      <c r="K1292" s="42" t="s">
        <v>144</v>
      </c>
      <c r="L1292" s="42" t="s">
        <v>1654</v>
      </c>
      <c r="M1292" s="44" t="s">
        <v>1655</v>
      </c>
    </row>
    <row r="1293" spans="1:13" x14ac:dyDescent="0.35">
      <c r="A1293" s="42">
        <v>1356</v>
      </c>
      <c r="B1293" s="42" t="s">
        <v>136</v>
      </c>
      <c r="C1293" s="42" t="s">
        <v>199</v>
      </c>
      <c r="D1293" s="42" t="s">
        <v>159</v>
      </c>
      <c r="E1293" s="42" t="s">
        <v>206</v>
      </c>
      <c r="F1293" s="42" t="s">
        <v>206</v>
      </c>
      <c r="G1293" s="42" t="s">
        <v>141</v>
      </c>
      <c r="H1293" s="42" t="s">
        <v>150</v>
      </c>
      <c r="I1293" s="42"/>
      <c r="J1293" s="45" t="s">
        <v>147</v>
      </c>
      <c r="K1293" s="42" t="s">
        <v>80</v>
      </c>
      <c r="L1293" s="42" t="s">
        <v>80</v>
      </c>
      <c r="M1293" s="44" t="s">
        <v>1656</v>
      </c>
    </row>
    <row r="1294" spans="1:13" x14ac:dyDescent="0.35">
      <c r="A1294" s="42">
        <v>1356</v>
      </c>
      <c r="B1294" s="42" t="s">
        <v>136</v>
      </c>
      <c r="C1294" s="42" t="s">
        <v>199</v>
      </c>
      <c r="D1294" s="42" t="s">
        <v>159</v>
      </c>
      <c r="E1294" s="42" t="s">
        <v>206</v>
      </c>
      <c r="F1294" s="42" t="s">
        <v>206</v>
      </c>
      <c r="G1294" s="42" t="s">
        <v>141</v>
      </c>
      <c r="H1294" s="42" t="s">
        <v>150</v>
      </c>
      <c r="I1294" s="42"/>
      <c r="J1294" s="45" t="s">
        <v>147</v>
      </c>
      <c r="K1294" s="42" t="s">
        <v>80</v>
      </c>
      <c r="L1294" s="42" t="s">
        <v>80</v>
      </c>
      <c r="M1294" s="44" t="s">
        <v>1657</v>
      </c>
    </row>
    <row r="1295" spans="1:13" x14ac:dyDescent="0.35">
      <c r="A1295" s="42">
        <v>1356</v>
      </c>
      <c r="B1295" s="42" t="s">
        <v>136</v>
      </c>
      <c r="C1295" s="42" t="s">
        <v>199</v>
      </c>
      <c r="D1295" s="42" t="s">
        <v>159</v>
      </c>
      <c r="E1295" s="42" t="s">
        <v>206</v>
      </c>
      <c r="F1295" s="42" t="s">
        <v>206</v>
      </c>
      <c r="G1295" s="42" t="s">
        <v>141</v>
      </c>
      <c r="H1295" s="42" t="s">
        <v>156</v>
      </c>
      <c r="I1295" s="42"/>
      <c r="J1295" s="43" t="s">
        <v>143</v>
      </c>
      <c r="K1295" s="42" t="s">
        <v>144</v>
      </c>
      <c r="L1295" s="42" t="s">
        <v>612</v>
      </c>
      <c r="M1295" s="44" t="s">
        <v>1658</v>
      </c>
    </row>
    <row r="1296" spans="1:13" x14ac:dyDescent="0.35">
      <c r="A1296" s="42">
        <v>1356</v>
      </c>
      <c r="B1296" s="42" t="s">
        <v>136</v>
      </c>
      <c r="C1296" s="42" t="s">
        <v>199</v>
      </c>
      <c r="D1296" s="42" t="s">
        <v>159</v>
      </c>
      <c r="E1296" s="42" t="s">
        <v>206</v>
      </c>
      <c r="F1296" s="42" t="s">
        <v>206</v>
      </c>
      <c r="G1296" s="42" t="s">
        <v>141</v>
      </c>
      <c r="H1296" s="42" t="s">
        <v>156</v>
      </c>
      <c r="I1296" s="42"/>
      <c r="J1296" s="43" t="s">
        <v>143</v>
      </c>
      <c r="K1296" s="42" t="s">
        <v>190</v>
      </c>
      <c r="L1296" s="42" t="s">
        <v>190</v>
      </c>
      <c r="M1296" s="44" t="s">
        <v>1659</v>
      </c>
    </row>
    <row r="1297" spans="1:13" ht="50" x14ac:dyDescent="0.35">
      <c r="A1297" s="42">
        <v>1360</v>
      </c>
      <c r="B1297" s="42" t="s">
        <v>175</v>
      </c>
      <c r="C1297" s="42" t="s">
        <v>137</v>
      </c>
      <c r="D1297" s="42" t="s">
        <v>176</v>
      </c>
      <c r="E1297" s="42" t="s">
        <v>139</v>
      </c>
      <c r="F1297" s="42" t="s">
        <v>140</v>
      </c>
      <c r="G1297" s="42" t="s">
        <v>141</v>
      </c>
      <c r="H1297" s="42" t="s">
        <v>146</v>
      </c>
      <c r="I1297" s="42">
        <v>5</v>
      </c>
      <c r="J1297" s="43" t="s">
        <v>143</v>
      </c>
      <c r="K1297" s="42" t="s">
        <v>190</v>
      </c>
      <c r="L1297" s="42" t="s">
        <v>190</v>
      </c>
      <c r="M1297" s="44" t="s">
        <v>1660</v>
      </c>
    </row>
    <row r="1298" spans="1:13" x14ac:dyDescent="0.35">
      <c r="A1298" s="42">
        <v>1360</v>
      </c>
      <c r="B1298" s="42" t="s">
        <v>175</v>
      </c>
      <c r="C1298" s="42" t="s">
        <v>137</v>
      </c>
      <c r="D1298" s="42" t="s">
        <v>176</v>
      </c>
      <c r="E1298" s="42" t="s">
        <v>139</v>
      </c>
      <c r="F1298" s="42" t="s">
        <v>140</v>
      </c>
      <c r="G1298" s="42" t="s">
        <v>141</v>
      </c>
      <c r="H1298" s="42" t="s">
        <v>150</v>
      </c>
      <c r="I1298" s="42"/>
      <c r="J1298" s="45" t="s">
        <v>147</v>
      </c>
      <c r="K1298" s="42" t="s">
        <v>210</v>
      </c>
      <c r="L1298" s="42" t="s">
        <v>210</v>
      </c>
      <c r="M1298" s="44" t="s">
        <v>1661</v>
      </c>
    </row>
    <row r="1299" spans="1:13" x14ac:dyDescent="0.35">
      <c r="A1299" s="42">
        <v>1360</v>
      </c>
      <c r="B1299" s="42" t="s">
        <v>175</v>
      </c>
      <c r="C1299" s="42" t="s">
        <v>137</v>
      </c>
      <c r="D1299" s="42" t="s">
        <v>176</v>
      </c>
      <c r="E1299" s="42" t="s">
        <v>139</v>
      </c>
      <c r="F1299" s="42" t="s">
        <v>140</v>
      </c>
      <c r="G1299" s="42" t="s">
        <v>141</v>
      </c>
      <c r="H1299" s="42" t="s">
        <v>156</v>
      </c>
      <c r="I1299" s="42"/>
      <c r="J1299" s="43" t="s">
        <v>143</v>
      </c>
      <c r="K1299" s="42" t="s">
        <v>210</v>
      </c>
      <c r="L1299" s="42" t="s">
        <v>210</v>
      </c>
      <c r="M1299" s="44" t="s">
        <v>1662</v>
      </c>
    </row>
    <row r="1300" spans="1:13" x14ac:dyDescent="0.35">
      <c r="A1300" s="42">
        <v>1360</v>
      </c>
      <c r="B1300" s="42" t="s">
        <v>175</v>
      </c>
      <c r="C1300" s="42" t="s">
        <v>137</v>
      </c>
      <c r="D1300" s="42" t="s">
        <v>176</v>
      </c>
      <c r="E1300" s="42" t="s">
        <v>139</v>
      </c>
      <c r="F1300" s="42" t="s">
        <v>140</v>
      </c>
      <c r="G1300" s="42" t="s">
        <v>141</v>
      </c>
      <c r="H1300" s="42" t="s">
        <v>156</v>
      </c>
      <c r="I1300" s="42"/>
      <c r="J1300" s="43" t="s">
        <v>143</v>
      </c>
      <c r="K1300" s="42" t="s">
        <v>196</v>
      </c>
      <c r="L1300" s="42" t="s">
        <v>196</v>
      </c>
      <c r="M1300" s="44" t="s">
        <v>1663</v>
      </c>
    </row>
    <row r="1301" spans="1:13" x14ac:dyDescent="0.35">
      <c r="A1301" s="42">
        <v>1360</v>
      </c>
      <c r="B1301" s="42" t="s">
        <v>175</v>
      </c>
      <c r="C1301" s="42" t="s">
        <v>137</v>
      </c>
      <c r="D1301" s="42" t="s">
        <v>176</v>
      </c>
      <c r="E1301" s="42" t="s">
        <v>139</v>
      </c>
      <c r="F1301" s="42" t="s">
        <v>140</v>
      </c>
      <c r="G1301" s="42" t="s">
        <v>141</v>
      </c>
      <c r="H1301" s="42" t="s">
        <v>156</v>
      </c>
      <c r="I1301" s="42"/>
      <c r="J1301" s="43" t="s">
        <v>143</v>
      </c>
      <c r="K1301" s="42" t="s">
        <v>268</v>
      </c>
      <c r="L1301" s="42" t="s">
        <v>863</v>
      </c>
      <c r="M1301" s="44" t="s">
        <v>1664</v>
      </c>
    </row>
    <row r="1302" spans="1:13" x14ac:dyDescent="0.35">
      <c r="A1302" s="42">
        <v>1367</v>
      </c>
      <c r="B1302" s="42" t="s">
        <v>136</v>
      </c>
      <c r="C1302" s="42" t="s">
        <v>199</v>
      </c>
      <c r="D1302" s="42" t="s">
        <v>159</v>
      </c>
      <c r="E1302" s="42" t="s">
        <v>160</v>
      </c>
      <c r="F1302" s="42" t="s">
        <v>160</v>
      </c>
      <c r="G1302" s="42" t="s">
        <v>141</v>
      </c>
      <c r="H1302" s="42" t="s">
        <v>146</v>
      </c>
      <c r="I1302" s="42">
        <v>10</v>
      </c>
      <c r="J1302" s="45" t="s">
        <v>147</v>
      </c>
      <c r="K1302" s="42" t="s">
        <v>144</v>
      </c>
      <c r="L1302" s="42" t="s">
        <v>1665</v>
      </c>
      <c r="M1302" s="44" t="s">
        <v>1666</v>
      </c>
    </row>
    <row r="1303" spans="1:13" x14ac:dyDescent="0.35">
      <c r="A1303" s="42">
        <v>1367</v>
      </c>
      <c r="B1303" s="42" t="s">
        <v>136</v>
      </c>
      <c r="C1303" s="42" t="s">
        <v>199</v>
      </c>
      <c r="D1303" s="42" t="s">
        <v>159</v>
      </c>
      <c r="E1303" s="42" t="s">
        <v>160</v>
      </c>
      <c r="F1303" s="42" t="s">
        <v>160</v>
      </c>
      <c r="G1303" s="42" t="s">
        <v>141</v>
      </c>
      <c r="H1303" s="42" t="s">
        <v>150</v>
      </c>
      <c r="I1303" s="42"/>
      <c r="J1303" s="45" t="s">
        <v>147</v>
      </c>
      <c r="K1303" s="42" t="s">
        <v>210</v>
      </c>
      <c r="L1303" s="42" t="s">
        <v>210</v>
      </c>
      <c r="M1303" s="44" t="s">
        <v>1667</v>
      </c>
    </row>
    <row r="1304" spans="1:13" x14ac:dyDescent="0.35">
      <c r="A1304" s="42">
        <v>1367</v>
      </c>
      <c r="B1304" s="42" t="s">
        <v>136</v>
      </c>
      <c r="C1304" s="42" t="s">
        <v>199</v>
      </c>
      <c r="D1304" s="42" t="s">
        <v>159</v>
      </c>
      <c r="E1304" s="42" t="s">
        <v>160</v>
      </c>
      <c r="F1304" s="42" t="s">
        <v>160</v>
      </c>
      <c r="G1304" s="42" t="s">
        <v>141</v>
      </c>
      <c r="H1304" s="42" t="s">
        <v>150</v>
      </c>
      <c r="I1304" s="42"/>
      <c r="J1304" s="45" t="s">
        <v>147</v>
      </c>
      <c r="K1304" s="42" t="s">
        <v>181</v>
      </c>
      <c r="L1304" s="42" t="s">
        <v>562</v>
      </c>
      <c r="M1304" s="44" t="s">
        <v>1668</v>
      </c>
    </row>
    <row r="1305" spans="1:13" x14ac:dyDescent="0.35">
      <c r="A1305" s="42">
        <v>1367</v>
      </c>
      <c r="B1305" s="42" t="s">
        <v>136</v>
      </c>
      <c r="C1305" s="42" t="s">
        <v>199</v>
      </c>
      <c r="D1305" s="42" t="s">
        <v>159</v>
      </c>
      <c r="E1305" s="42" t="s">
        <v>160</v>
      </c>
      <c r="F1305" s="42" t="s">
        <v>160</v>
      </c>
      <c r="G1305" s="42" t="s">
        <v>141</v>
      </c>
      <c r="H1305" s="42" t="s">
        <v>150</v>
      </c>
      <c r="I1305" s="42"/>
      <c r="J1305" s="45" t="s">
        <v>147</v>
      </c>
      <c r="K1305" s="42" t="s">
        <v>78</v>
      </c>
      <c r="L1305" s="42" t="s">
        <v>78</v>
      </c>
      <c r="M1305" s="44" t="s">
        <v>1669</v>
      </c>
    </row>
    <row r="1306" spans="1:13" x14ac:dyDescent="0.35">
      <c r="A1306" s="42">
        <v>1367</v>
      </c>
      <c r="B1306" s="42" t="s">
        <v>136</v>
      </c>
      <c r="C1306" s="42" t="s">
        <v>199</v>
      </c>
      <c r="D1306" s="42" t="s">
        <v>159</v>
      </c>
      <c r="E1306" s="42" t="s">
        <v>160</v>
      </c>
      <c r="F1306" s="42" t="s">
        <v>160</v>
      </c>
      <c r="G1306" s="42" t="s">
        <v>141</v>
      </c>
      <c r="H1306" s="42" t="s">
        <v>156</v>
      </c>
      <c r="I1306" s="42"/>
      <c r="J1306" s="43" t="s">
        <v>143</v>
      </c>
      <c r="K1306" s="42" t="s">
        <v>76</v>
      </c>
      <c r="L1306" s="42" t="s">
        <v>76</v>
      </c>
      <c r="M1306" s="44" t="s">
        <v>1670</v>
      </c>
    </row>
    <row r="1307" spans="1:13" ht="37.5" x14ac:dyDescent="0.35">
      <c r="A1307" s="42">
        <v>1367</v>
      </c>
      <c r="B1307" s="42" t="s">
        <v>136</v>
      </c>
      <c r="C1307" s="42" t="s">
        <v>199</v>
      </c>
      <c r="D1307" s="42" t="s">
        <v>159</v>
      </c>
      <c r="E1307" s="42" t="s">
        <v>160</v>
      </c>
      <c r="F1307" s="42" t="s">
        <v>160</v>
      </c>
      <c r="G1307" s="42" t="s">
        <v>141</v>
      </c>
      <c r="H1307" s="42" t="s">
        <v>156</v>
      </c>
      <c r="I1307" s="42"/>
      <c r="J1307" s="43" t="s">
        <v>143</v>
      </c>
      <c r="K1307" s="42" t="s">
        <v>53</v>
      </c>
      <c r="L1307" s="42" t="s">
        <v>1671</v>
      </c>
      <c r="M1307" s="44" t="s">
        <v>1672</v>
      </c>
    </row>
    <row r="1308" spans="1:13" x14ac:dyDescent="0.35">
      <c r="A1308" s="42">
        <v>1367</v>
      </c>
      <c r="B1308" s="42" t="s">
        <v>136</v>
      </c>
      <c r="C1308" s="42" t="s">
        <v>199</v>
      </c>
      <c r="D1308" s="42" t="s">
        <v>159</v>
      </c>
      <c r="E1308" s="42" t="s">
        <v>160</v>
      </c>
      <c r="F1308" s="42" t="s">
        <v>160</v>
      </c>
      <c r="G1308" s="42" t="s">
        <v>141</v>
      </c>
      <c r="H1308" s="42" t="s">
        <v>156</v>
      </c>
      <c r="I1308" s="42"/>
      <c r="J1308" s="43" t="s">
        <v>143</v>
      </c>
      <c r="K1308" s="42" t="s">
        <v>144</v>
      </c>
      <c r="L1308" s="42" t="s">
        <v>144</v>
      </c>
      <c r="M1308" s="44" t="s">
        <v>1673</v>
      </c>
    </row>
    <row r="1309" spans="1:13" ht="25" x14ac:dyDescent="0.35">
      <c r="A1309" s="42">
        <v>1364</v>
      </c>
      <c r="B1309" s="42" t="s">
        <v>136</v>
      </c>
      <c r="C1309" s="42" t="s">
        <v>137</v>
      </c>
      <c r="D1309" s="42" t="s">
        <v>159</v>
      </c>
      <c r="E1309" s="42" t="s">
        <v>139</v>
      </c>
      <c r="F1309" s="42" t="s">
        <v>140</v>
      </c>
      <c r="G1309" s="42" t="s">
        <v>141</v>
      </c>
      <c r="H1309" s="42" t="s">
        <v>177</v>
      </c>
      <c r="I1309" s="42">
        <v>5</v>
      </c>
      <c r="J1309" s="43" t="s">
        <v>143</v>
      </c>
      <c r="K1309" s="42" t="s">
        <v>53</v>
      </c>
      <c r="L1309" s="42" t="s">
        <v>1674</v>
      </c>
      <c r="M1309" s="44" t="s">
        <v>1675</v>
      </c>
    </row>
    <row r="1310" spans="1:13" ht="25" x14ac:dyDescent="0.35">
      <c r="A1310" s="42">
        <v>1364</v>
      </c>
      <c r="B1310" s="42" t="s">
        <v>136</v>
      </c>
      <c r="C1310" s="42" t="s">
        <v>137</v>
      </c>
      <c r="D1310" s="42" t="s">
        <v>159</v>
      </c>
      <c r="E1310" s="42" t="s">
        <v>139</v>
      </c>
      <c r="F1310" s="42" t="s">
        <v>140</v>
      </c>
      <c r="G1310" s="42" t="s">
        <v>141</v>
      </c>
      <c r="H1310" s="42" t="s">
        <v>146</v>
      </c>
      <c r="I1310" s="42">
        <v>9</v>
      </c>
      <c r="J1310" s="45" t="s">
        <v>147</v>
      </c>
      <c r="K1310" s="42" t="s">
        <v>53</v>
      </c>
      <c r="L1310" s="42" t="s">
        <v>1676</v>
      </c>
      <c r="M1310" s="44" t="s">
        <v>1677</v>
      </c>
    </row>
    <row r="1311" spans="1:13" x14ac:dyDescent="0.35">
      <c r="A1311" s="42">
        <v>1364</v>
      </c>
      <c r="B1311" s="42" t="s">
        <v>136</v>
      </c>
      <c r="C1311" s="42" t="s">
        <v>137</v>
      </c>
      <c r="D1311" s="42" t="s">
        <v>159</v>
      </c>
      <c r="E1311" s="42" t="s">
        <v>139</v>
      </c>
      <c r="F1311" s="42" t="s">
        <v>140</v>
      </c>
      <c r="G1311" s="42" t="s">
        <v>141</v>
      </c>
      <c r="H1311" s="42" t="s">
        <v>150</v>
      </c>
      <c r="I1311" s="42"/>
      <c r="J1311" s="45" t="s">
        <v>147</v>
      </c>
      <c r="K1311" s="42" t="s">
        <v>82</v>
      </c>
      <c r="L1311" s="42" t="s">
        <v>1678</v>
      </c>
      <c r="M1311" s="44" t="s">
        <v>1679</v>
      </c>
    </row>
    <row r="1312" spans="1:13" x14ac:dyDescent="0.35">
      <c r="A1312" s="42">
        <v>1364</v>
      </c>
      <c r="B1312" s="42" t="s">
        <v>136</v>
      </c>
      <c r="C1312" s="42" t="s">
        <v>137</v>
      </c>
      <c r="D1312" s="42" t="s">
        <v>159</v>
      </c>
      <c r="E1312" s="42" t="s">
        <v>139</v>
      </c>
      <c r="F1312" s="42" t="s">
        <v>140</v>
      </c>
      <c r="G1312" s="42" t="s">
        <v>141</v>
      </c>
      <c r="H1312" s="42" t="s">
        <v>150</v>
      </c>
      <c r="I1312" s="42"/>
      <c r="J1312" s="45" t="s">
        <v>147</v>
      </c>
      <c r="K1312" s="42" t="s">
        <v>181</v>
      </c>
      <c r="L1312" s="42" t="s">
        <v>397</v>
      </c>
      <c r="M1312" s="44" t="s">
        <v>1680</v>
      </c>
    </row>
    <row r="1313" spans="1:13" x14ac:dyDescent="0.35">
      <c r="A1313" s="42">
        <v>1364</v>
      </c>
      <c r="B1313" s="42" t="s">
        <v>136</v>
      </c>
      <c r="C1313" s="42" t="s">
        <v>137</v>
      </c>
      <c r="D1313" s="42" t="s">
        <v>159</v>
      </c>
      <c r="E1313" s="42" t="s">
        <v>139</v>
      </c>
      <c r="F1313" s="42" t="s">
        <v>140</v>
      </c>
      <c r="G1313" s="42" t="s">
        <v>141</v>
      </c>
      <c r="H1313" s="42" t="s">
        <v>150</v>
      </c>
      <c r="I1313" s="42"/>
      <c r="J1313" s="45" t="s">
        <v>147</v>
      </c>
      <c r="K1313" s="42" t="s">
        <v>210</v>
      </c>
      <c r="L1313" s="42" t="s">
        <v>210</v>
      </c>
      <c r="M1313" s="44" t="s">
        <v>1681</v>
      </c>
    </row>
    <row r="1314" spans="1:13" x14ac:dyDescent="0.35">
      <c r="A1314" s="42">
        <v>1364</v>
      </c>
      <c r="B1314" s="42" t="s">
        <v>136</v>
      </c>
      <c r="C1314" s="42" t="s">
        <v>137</v>
      </c>
      <c r="D1314" s="42" t="s">
        <v>159</v>
      </c>
      <c r="E1314" s="42" t="s">
        <v>139</v>
      </c>
      <c r="F1314" s="42" t="s">
        <v>140</v>
      </c>
      <c r="G1314" s="42" t="s">
        <v>141</v>
      </c>
      <c r="H1314" s="42" t="s">
        <v>156</v>
      </c>
      <c r="I1314" s="42"/>
      <c r="J1314" s="43" t="s">
        <v>143</v>
      </c>
      <c r="K1314" s="42" t="s">
        <v>53</v>
      </c>
      <c r="L1314" s="42" t="s">
        <v>53</v>
      </c>
      <c r="M1314" s="44" t="s">
        <v>1682</v>
      </c>
    </row>
    <row r="1315" spans="1:13" x14ac:dyDescent="0.35">
      <c r="A1315" s="42">
        <v>1364</v>
      </c>
      <c r="B1315" s="42" t="s">
        <v>136</v>
      </c>
      <c r="C1315" s="42" t="s">
        <v>137</v>
      </c>
      <c r="D1315" s="42" t="s">
        <v>159</v>
      </c>
      <c r="E1315" s="42" t="s">
        <v>139</v>
      </c>
      <c r="F1315" s="42" t="s">
        <v>140</v>
      </c>
      <c r="G1315" s="42" t="s">
        <v>141</v>
      </c>
      <c r="H1315" s="42" t="s">
        <v>156</v>
      </c>
      <c r="I1315" s="42"/>
      <c r="J1315" s="43" t="s">
        <v>143</v>
      </c>
      <c r="K1315" s="42" t="s">
        <v>190</v>
      </c>
      <c r="L1315" s="42" t="s">
        <v>190</v>
      </c>
      <c r="M1315" s="44" t="s">
        <v>1683</v>
      </c>
    </row>
    <row r="1316" spans="1:13" x14ac:dyDescent="0.35">
      <c r="A1316" s="42">
        <v>1364</v>
      </c>
      <c r="B1316" s="42" t="s">
        <v>136</v>
      </c>
      <c r="C1316" s="42" t="s">
        <v>137</v>
      </c>
      <c r="D1316" s="42" t="s">
        <v>159</v>
      </c>
      <c r="E1316" s="42" t="s">
        <v>139</v>
      </c>
      <c r="F1316" s="42" t="s">
        <v>140</v>
      </c>
      <c r="G1316" s="42" t="s">
        <v>141</v>
      </c>
      <c r="H1316" s="42" t="s">
        <v>156</v>
      </c>
      <c r="I1316" s="42"/>
      <c r="J1316" s="43" t="s">
        <v>143</v>
      </c>
      <c r="K1316" s="42" t="s">
        <v>181</v>
      </c>
      <c r="L1316" s="42" t="s">
        <v>337</v>
      </c>
      <c r="M1316" s="44" t="s">
        <v>1684</v>
      </c>
    </row>
    <row r="1317" spans="1:13" ht="62.5" x14ac:dyDescent="0.35">
      <c r="A1317" s="42">
        <v>1365</v>
      </c>
      <c r="B1317" s="42" t="s">
        <v>136</v>
      </c>
      <c r="C1317" s="42" t="s">
        <v>137</v>
      </c>
      <c r="D1317" s="42" t="s">
        <v>176</v>
      </c>
      <c r="E1317" s="42" t="s">
        <v>206</v>
      </c>
      <c r="F1317" s="42" t="s">
        <v>206</v>
      </c>
      <c r="G1317" s="42" t="s">
        <v>141</v>
      </c>
      <c r="H1317" s="42" t="s">
        <v>166</v>
      </c>
      <c r="I1317" s="42">
        <v>3</v>
      </c>
      <c r="J1317" s="43" t="s">
        <v>143</v>
      </c>
      <c r="K1317" s="42" t="s">
        <v>50</v>
      </c>
      <c r="L1317" s="42" t="s">
        <v>348</v>
      </c>
      <c r="M1317" s="44" t="s">
        <v>1685</v>
      </c>
    </row>
    <row r="1318" spans="1:13" ht="37.5" x14ac:dyDescent="0.35">
      <c r="A1318" s="42">
        <v>1365</v>
      </c>
      <c r="B1318" s="42" t="s">
        <v>136</v>
      </c>
      <c r="C1318" s="42" t="s">
        <v>137</v>
      </c>
      <c r="D1318" s="42" t="s">
        <v>176</v>
      </c>
      <c r="E1318" s="42" t="s">
        <v>206</v>
      </c>
      <c r="F1318" s="42" t="s">
        <v>206</v>
      </c>
      <c r="G1318" s="42" t="s">
        <v>141</v>
      </c>
      <c r="H1318" s="42" t="s">
        <v>146</v>
      </c>
      <c r="I1318" s="42">
        <v>5</v>
      </c>
      <c r="J1318" s="43" t="s">
        <v>143</v>
      </c>
      <c r="K1318" s="42" t="s">
        <v>78</v>
      </c>
      <c r="L1318" s="42" t="s">
        <v>151</v>
      </c>
      <c r="M1318" s="44" t="s">
        <v>1686</v>
      </c>
    </row>
    <row r="1319" spans="1:13" x14ac:dyDescent="0.35">
      <c r="A1319" s="42">
        <v>1365</v>
      </c>
      <c r="B1319" s="42" t="s">
        <v>136</v>
      </c>
      <c r="C1319" s="42" t="s">
        <v>137</v>
      </c>
      <c r="D1319" s="42" t="s">
        <v>176</v>
      </c>
      <c r="E1319" s="42" t="s">
        <v>206</v>
      </c>
      <c r="F1319" s="42" t="s">
        <v>206</v>
      </c>
      <c r="G1319" s="42" t="s">
        <v>141</v>
      </c>
      <c r="H1319" s="42" t="s">
        <v>150</v>
      </c>
      <c r="I1319" s="42"/>
      <c r="J1319" s="45" t="s">
        <v>147</v>
      </c>
      <c r="K1319" s="42" t="s">
        <v>78</v>
      </c>
      <c r="L1319" s="42" t="s">
        <v>78</v>
      </c>
      <c r="M1319" s="44" t="s">
        <v>1687</v>
      </c>
    </row>
    <row r="1320" spans="1:13" x14ac:dyDescent="0.35">
      <c r="A1320" s="42">
        <v>1365</v>
      </c>
      <c r="B1320" s="42" t="s">
        <v>136</v>
      </c>
      <c r="C1320" s="42" t="s">
        <v>137</v>
      </c>
      <c r="D1320" s="42" t="s">
        <v>176</v>
      </c>
      <c r="E1320" s="42" t="s">
        <v>206</v>
      </c>
      <c r="F1320" s="42" t="s">
        <v>206</v>
      </c>
      <c r="G1320" s="42" t="s">
        <v>141</v>
      </c>
      <c r="H1320" s="42" t="s">
        <v>150</v>
      </c>
      <c r="I1320" s="42"/>
      <c r="J1320" s="45" t="s">
        <v>147</v>
      </c>
      <c r="K1320" s="42" t="s">
        <v>144</v>
      </c>
      <c r="L1320" s="42" t="s">
        <v>144</v>
      </c>
      <c r="M1320" s="44" t="s">
        <v>1688</v>
      </c>
    </row>
    <row r="1321" spans="1:13" x14ac:dyDescent="0.35">
      <c r="A1321" s="42">
        <v>1365</v>
      </c>
      <c r="B1321" s="42" t="s">
        <v>136</v>
      </c>
      <c r="C1321" s="42" t="s">
        <v>137</v>
      </c>
      <c r="D1321" s="42" t="s">
        <v>176</v>
      </c>
      <c r="E1321" s="42" t="s">
        <v>206</v>
      </c>
      <c r="F1321" s="42" t="s">
        <v>206</v>
      </c>
      <c r="G1321" s="42" t="s">
        <v>141</v>
      </c>
      <c r="H1321" s="42" t="s">
        <v>156</v>
      </c>
      <c r="I1321" s="42"/>
      <c r="J1321" s="43" t="s">
        <v>143</v>
      </c>
      <c r="K1321" s="42" t="s">
        <v>50</v>
      </c>
      <c r="L1321" s="42" t="s">
        <v>1689</v>
      </c>
      <c r="M1321" s="44" t="s">
        <v>1690</v>
      </c>
    </row>
    <row r="1322" spans="1:13" ht="25" x14ac:dyDescent="0.35">
      <c r="A1322" s="42">
        <v>1365</v>
      </c>
      <c r="B1322" s="42" t="s">
        <v>136</v>
      </c>
      <c r="C1322" s="42" t="s">
        <v>137</v>
      </c>
      <c r="D1322" s="42" t="s">
        <v>176</v>
      </c>
      <c r="E1322" s="42" t="s">
        <v>206</v>
      </c>
      <c r="F1322" s="42" t="s">
        <v>206</v>
      </c>
      <c r="G1322" s="42" t="s">
        <v>141</v>
      </c>
      <c r="H1322" s="42" t="s">
        <v>156</v>
      </c>
      <c r="I1322" s="42"/>
      <c r="J1322" s="43" t="s">
        <v>143</v>
      </c>
      <c r="K1322" s="42" t="s">
        <v>84</v>
      </c>
      <c r="L1322" s="42" t="s">
        <v>401</v>
      </c>
      <c r="M1322" s="44" t="s">
        <v>1691</v>
      </c>
    </row>
    <row r="1323" spans="1:13" ht="25" x14ac:dyDescent="0.35">
      <c r="A1323" s="42">
        <v>1365</v>
      </c>
      <c r="B1323" s="42" t="s">
        <v>136</v>
      </c>
      <c r="C1323" s="42" t="s">
        <v>137</v>
      </c>
      <c r="D1323" s="42" t="s">
        <v>176</v>
      </c>
      <c r="E1323" s="42" t="s">
        <v>206</v>
      </c>
      <c r="F1323" s="42" t="s">
        <v>206</v>
      </c>
      <c r="G1323" s="42" t="s">
        <v>141</v>
      </c>
      <c r="H1323" s="42" t="s">
        <v>156</v>
      </c>
      <c r="I1323" s="42"/>
      <c r="J1323" s="43" t="s">
        <v>143</v>
      </c>
      <c r="K1323" s="42" t="s">
        <v>50</v>
      </c>
      <c r="L1323" s="42" t="s">
        <v>1692</v>
      </c>
      <c r="M1323" s="44" t="s">
        <v>1693</v>
      </c>
    </row>
    <row r="1324" spans="1:13" ht="37.5" x14ac:dyDescent="0.35">
      <c r="A1324" s="42">
        <v>1059</v>
      </c>
      <c r="B1324" s="42" t="s">
        <v>136</v>
      </c>
      <c r="C1324" s="42" t="s">
        <v>137</v>
      </c>
      <c r="D1324" s="42" t="s">
        <v>219</v>
      </c>
      <c r="E1324" s="42" t="s">
        <v>160</v>
      </c>
      <c r="F1324" s="42" t="s">
        <v>160</v>
      </c>
      <c r="G1324" s="42" t="s">
        <v>141</v>
      </c>
      <c r="H1324" s="42" t="s">
        <v>142</v>
      </c>
      <c r="I1324" s="42">
        <v>2</v>
      </c>
      <c r="J1324" s="43" t="s">
        <v>143</v>
      </c>
      <c r="K1324" s="42" t="s">
        <v>144</v>
      </c>
      <c r="L1324" s="42" t="s">
        <v>1590</v>
      </c>
      <c r="M1324" s="44" t="s">
        <v>1694</v>
      </c>
    </row>
    <row r="1325" spans="1:13" x14ac:dyDescent="0.35">
      <c r="A1325" s="42">
        <v>1059</v>
      </c>
      <c r="B1325" s="42" t="s">
        <v>136</v>
      </c>
      <c r="C1325" s="42" t="s">
        <v>137</v>
      </c>
      <c r="D1325" s="42" t="s">
        <v>219</v>
      </c>
      <c r="E1325" s="42" t="s">
        <v>160</v>
      </c>
      <c r="F1325" s="42" t="s">
        <v>160</v>
      </c>
      <c r="G1325" s="42" t="s">
        <v>141</v>
      </c>
      <c r="H1325" s="42" t="s">
        <v>163</v>
      </c>
      <c r="I1325" s="42"/>
      <c r="J1325" s="43" t="s">
        <v>143</v>
      </c>
      <c r="K1325" s="42" t="s">
        <v>181</v>
      </c>
      <c r="L1325" s="42" t="s">
        <v>181</v>
      </c>
      <c r="M1325" s="44" t="s">
        <v>1695</v>
      </c>
    </row>
    <row r="1326" spans="1:13" ht="25" x14ac:dyDescent="0.35">
      <c r="A1326" s="42">
        <v>1059</v>
      </c>
      <c r="B1326" s="42" t="s">
        <v>136</v>
      </c>
      <c r="C1326" s="42" t="s">
        <v>137</v>
      </c>
      <c r="D1326" s="42" t="s">
        <v>219</v>
      </c>
      <c r="E1326" s="42" t="s">
        <v>160</v>
      </c>
      <c r="F1326" s="42" t="s">
        <v>160</v>
      </c>
      <c r="G1326" s="42" t="s">
        <v>141</v>
      </c>
      <c r="H1326" s="42" t="s">
        <v>166</v>
      </c>
      <c r="I1326" s="42">
        <v>3</v>
      </c>
      <c r="J1326" s="43" t="s">
        <v>143</v>
      </c>
      <c r="K1326" s="42" t="s">
        <v>50</v>
      </c>
      <c r="L1326" s="42" t="s">
        <v>1696</v>
      </c>
      <c r="M1326" s="44" t="s">
        <v>1697</v>
      </c>
    </row>
    <row r="1327" spans="1:13" x14ac:dyDescent="0.35">
      <c r="A1327" s="42">
        <v>1059</v>
      </c>
      <c r="B1327" s="42" t="s">
        <v>136</v>
      </c>
      <c r="C1327" s="42" t="s">
        <v>137</v>
      </c>
      <c r="D1327" s="42" t="s">
        <v>219</v>
      </c>
      <c r="E1327" s="42" t="s">
        <v>160</v>
      </c>
      <c r="F1327" s="42" t="s">
        <v>160</v>
      </c>
      <c r="G1327" s="42" t="s">
        <v>141</v>
      </c>
      <c r="H1327" s="42" t="s">
        <v>180</v>
      </c>
      <c r="I1327" s="42">
        <v>3</v>
      </c>
      <c r="J1327" s="43" t="s">
        <v>143</v>
      </c>
      <c r="K1327" s="42" t="s">
        <v>181</v>
      </c>
      <c r="L1327" s="42" t="s">
        <v>1698</v>
      </c>
      <c r="M1327" s="44" t="s">
        <v>1699</v>
      </c>
    </row>
    <row r="1328" spans="1:13" ht="37.5" x14ac:dyDescent="0.35">
      <c r="A1328" s="42">
        <v>1059</v>
      </c>
      <c r="B1328" s="42" t="s">
        <v>136</v>
      </c>
      <c r="C1328" s="42" t="s">
        <v>137</v>
      </c>
      <c r="D1328" s="42" t="s">
        <v>219</v>
      </c>
      <c r="E1328" s="42" t="s">
        <v>160</v>
      </c>
      <c r="F1328" s="42" t="s">
        <v>160</v>
      </c>
      <c r="G1328" s="42" t="s">
        <v>141</v>
      </c>
      <c r="H1328" s="42" t="s">
        <v>146</v>
      </c>
      <c r="I1328" s="42">
        <v>1</v>
      </c>
      <c r="J1328" s="43" t="s">
        <v>143</v>
      </c>
      <c r="K1328" s="42" t="s">
        <v>184</v>
      </c>
      <c r="L1328" s="42" t="s">
        <v>1700</v>
      </c>
      <c r="M1328" s="44" t="s">
        <v>1701</v>
      </c>
    </row>
    <row r="1329" spans="1:13" x14ac:dyDescent="0.35">
      <c r="A1329" s="42">
        <v>1059</v>
      </c>
      <c r="B1329" s="42" t="s">
        <v>136</v>
      </c>
      <c r="C1329" s="42" t="s">
        <v>137</v>
      </c>
      <c r="D1329" s="42" t="s">
        <v>219</v>
      </c>
      <c r="E1329" s="42" t="s">
        <v>160</v>
      </c>
      <c r="F1329" s="42" t="s">
        <v>160</v>
      </c>
      <c r="G1329" s="42" t="s">
        <v>141</v>
      </c>
      <c r="H1329" s="42" t="s">
        <v>150</v>
      </c>
      <c r="I1329" s="42"/>
      <c r="J1329" s="45" t="s">
        <v>147</v>
      </c>
      <c r="K1329" s="42" t="s">
        <v>76</v>
      </c>
      <c r="L1329" s="42" t="s">
        <v>76</v>
      </c>
      <c r="M1329" s="44" t="s">
        <v>227</v>
      </c>
    </row>
    <row r="1330" spans="1:13" x14ac:dyDescent="0.35">
      <c r="A1330" s="42">
        <v>1059</v>
      </c>
      <c r="B1330" s="42" t="s">
        <v>136</v>
      </c>
      <c r="C1330" s="42" t="s">
        <v>137</v>
      </c>
      <c r="D1330" s="42" t="s">
        <v>219</v>
      </c>
      <c r="E1330" s="42" t="s">
        <v>160</v>
      </c>
      <c r="F1330" s="42" t="s">
        <v>160</v>
      </c>
      <c r="G1330" s="42" t="s">
        <v>141</v>
      </c>
      <c r="H1330" s="42" t="s">
        <v>150</v>
      </c>
      <c r="I1330" s="42"/>
      <c r="J1330" s="45" t="s">
        <v>147</v>
      </c>
      <c r="K1330" s="42" t="s">
        <v>78</v>
      </c>
      <c r="L1330" s="42" t="s">
        <v>78</v>
      </c>
      <c r="M1330" s="44" t="s">
        <v>1702</v>
      </c>
    </row>
    <row r="1331" spans="1:13" x14ac:dyDescent="0.35">
      <c r="A1331" s="42">
        <v>1059</v>
      </c>
      <c r="B1331" s="42" t="s">
        <v>136</v>
      </c>
      <c r="C1331" s="42" t="s">
        <v>137</v>
      </c>
      <c r="D1331" s="42" t="s">
        <v>219</v>
      </c>
      <c r="E1331" s="42" t="s">
        <v>160</v>
      </c>
      <c r="F1331" s="42" t="s">
        <v>160</v>
      </c>
      <c r="G1331" s="42" t="s">
        <v>141</v>
      </c>
      <c r="H1331" s="42" t="s">
        <v>156</v>
      </c>
      <c r="I1331" s="42"/>
      <c r="J1331" s="43" t="s">
        <v>143</v>
      </c>
      <c r="K1331" s="42" t="s">
        <v>196</v>
      </c>
      <c r="L1331" s="42" t="s">
        <v>614</v>
      </c>
      <c r="M1331" s="44" t="s">
        <v>1703</v>
      </c>
    </row>
    <row r="1332" spans="1:13" x14ac:dyDescent="0.35">
      <c r="A1332" s="42">
        <v>1059</v>
      </c>
      <c r="B1332" s="42" t="s">
        <v>136</v>
      </c>
      <c r="C1332" s="42" t="s">
        <v>137</v>
      </c>
      <c r="D1332" s="42" t="s">
        <v>219</v>
      </c>
      <c r="E1332" s="42" t="s">
        <v>160</v>
      </c>
      <c r="F1332" s="42" t="s">
        <v>160</v>
      </c>
      <c r="G1332" s="42" t="s">
        <v>141</v>
      </c>
      <c r="H1332" s="42" t="s">
        <v>156</v>
      </c>
      <c r="I1332" s="42"/>
      <c r="J1332" s="43" t="s">
        <v>143</v>
      </c>
      <c r="K1332" s="42" t="s">
        <v>196</v>
      </c>
      <c r="L1332" s="42" t="s">
        <v>196</v>
      </c>
      <c r="M1332" s="44" t="s">
        <v>1704</v>
      </c>
    </row>
    <row r="1333" spans="1:13" x14ac:dyDescent="0.35">
      <c r="A1333" s="42">
        <v>1059</v>
      </c>
      <c r="B1333" s="42" t="s">
        <v>136</v>
      </c>
      <c r="C1333" s="42" t="s">
        <v>137</v>
      </c>
      <c r="D1333" s="42" t="s">
        <v>219</v>
      </c>
      <c r="E1333" s="42" t="s">
        <v>160</v>
      </c>
      <c r="F1333" s="42" t="s">
        <v>160</v>
      </c>
      <c r="G1333" s="42" t="s">
        <v>141</v>
      </c>
      <c r="H1333" s="42" t="s">
        <v>156</v>
      </c>
      <c r="I1333" s="42"/>
      <c r="J1333" s="43" t="s">
        <v>143</v>
      </c>
      <c r="K1333" s="42" t="s">
        <v>144</v>
      </c>
      <c r="L1333" s="42" t="s">
        <v>144</v>
      </c>
      <c r="M1333" s="44" t="s">
        <v>1705</v>
      </c>
    </row>
    <row r="1334" spans="1:13" ht="25" x14ac:dyDescent="0.35">
      <c r="A1334" s="42">
        <v>1369</v>
      </c>
      <c r="B1334" s="42" t="s">
        <v>136</v>
      </c>
      <c r="C1334" s="42" t="s">
        <v>199</v>
      </c>
      <c r="D1334" s="42" t="s">
        <v>138</v>
      </c>
      <c r="E1334" s="42" t="s">
        <v>274</v>
      </c>
      <c r="F1334" s="42" t="s">
        <v>140</v>
      </c>
      <c r="G1334" s="42" t="s">
        <v>141</v>
      </c>
      <c r="H1334" s="42" t="s">
        <v>163</v>
      </c>
      <c r="I1334" s="42"/>
      <c r="J1334" s="45" t="s">
        <v>147</v>
      </c>
      <c r="K1334" s="42" t="s">
        <v>76</v>
      </c>
      <c r="L1334" s="42" t="s">
        <v>1706</v>
      </c>
      <c r="M1334" s="44" t="s">
        <v>1707</v>
      </c>
    </row>
    <row r="1335" spans="1:13" ht="37.5" x14ac:dyDescent="0.35">
      <c r="A1335" s="42">
        <v>1369</v>
      </c>
      <c r="B1335" s="42" t="s">
        <v>136</v>
      </c>
      <c r="C1335" s="42" t="s">
        <v>199</v>
      </c>
      <c r="D1335" s="42" t="s">
        <v>138</v>
      </c>
      <c r="E1335" s="42" t="s">
        <v>274</v>
      </c>
      <c r="F1335" s="42" t="s">
        <v>140</v>
      </c>
      <c r="G1335" s="42" t="s">
        <v>141</v>
      </c>
      <c r="H1335" s="42" t="s">
        <v>166</v>
      </c>
      <c r="I1335" s="42">
        <v>5</v>
      </c>
      <c r="J1335" s="43" t="s">
        <v>143</v>
      </c>
      <c r="K1335" s="42" t="s">
        <v>50</v>
      </c>
      <c r="L1335" s="42" t="s">
        <v>1708</v>
      </c>
      <c r="M1335" s="44" t="s">
        <v>1709</v>
      </c>
    </row>
    <row r="1336" spans="1:13" ht="25" x14ac:dyDescent="0.35">
      <c r="A1336" s="42">
        <v>1369</v>
      </c>
      <c r="B1336" s="42" t="s">
        <v>136</v>
      </c>
      <c r="C1336" s="42" t="s">
        <v>199</v>
      </c>
      <c r="D1336" s="42" t="s">
        <v>138</v>
      </c>
      <c r="E1336" s="42" t="s">
        <v>274</v>
      </c>
      <c r="F1336" s="42" t="s">
        <v>140</v>
      </c>
      <c r="G1336" s="42" t="s">
        <v>141</v>
      </c>
      <c r="H1336" s="42" t="s">
        <v>180</v>
      </c>
      <c r="I1336" s="42">
        <v>5</v>
      </c>
      <c r="J1336" s="43" t="s">
        <v>143</v>
      </c>
      <c r="K1336" s="42" t="s">
        <v>196</v>
      </c>
      <c r="L1336" s="42" t="s">
        <v>217</v>
      </c>
      <c r="M1336" s="44" t="s">
        <v>1710</v>
      </c>
    </row>
    <row r="1337" spans="1:13" ht="37.5" x14ac:dyDescent="0.35">
      <c r="A1337" s="42">
        <v>1369</v>
      </c>
      <c r="B1337" s="42" t="s">
        <v>136</v>
      </c>
      <c r="C1337" s="42" t="s">
        <v>199</v>
      </c>
      <c r="D1337" s="42" t="s">
        <v>138</v>
      </c>
      <c r="E1337" s="42" t="s">
        <v>274</v>
      </c>
      <c r="F1337" s="42" t="s">
        <v>140</v>
      </c>
      <c r="G1337" s="42" t="s">
        <v>141</v>
      </c>
      <c r="H1337" s="42" t="s">
        <v>146</v>
      </c>
      <c r="I1337" s="42">
        <v>3</v>
      </c>
      <c r="J1337" s="43" t="s">
        <v>143</v>
      </c>
      <c r="K1337" s="42" t="s">
        <v>144</v>
      </c>
      <c r="L1337" s="42" t="s">
        <v>725</v>
      </c>
      <c r="M1337" s="44" t="s">
        <v>1711</v>
      </c>
    </row>
    <row r="1338" spans="1:13" x14ac:dyDescent="0.35">
      <c r="A1338" s="42">
        <v>1369</v>
      </c>
      <c r="B1338" s="42" t="s">
        <v>136</v>
      </c>
      <c r="C1338" s="42" t="s">
        <v>199</v>
      </c>
      <c r="D1338" s="42" t="s">
        <v>138</v>
      </c>
      <c r="E1338" s="42" t="s">
        <v>274</v>
      </c>
      <c r="F1338" s="42" t="s">
        <v>140</v>
      </c>
      <c r="G1338" s="42" t="s">
        <v>141</v>
      </c>
      <c r="H1338" s="42" t="s">
        <v>150</v>
      </c>
      <c r="I1338" s="42"/>
      <c r="J1338" s="45" t="s">
        <v>147</v>
      </c>
      <c r="K1338" s="42" t="s">
        <v>144</v>
      </c>
      <c r="L1338" s="42" t="s">
        <v>144</v>
      </c>
      <c r="M1338" s="44" t="s">
        <v>215</v>
      </c>
    </row>
    <row r="1339" spans="1:13" x14ac:dyDescent="0.35">
      <c r="A1339" s="42">
        <v>1369</v>
      </c>
      <c r="B1339" s="42" t="s">
        <v>136</v>
      </c>
      <c r="C1339" s="42" t="s">
        <v>199</v>
      </c>
      <c r="D1339" s="42" t="s">
        <v>138</v>
      </c>
      <c r="E1339" s="42" t="s">
        <v>274</v>
      </c>
      <c r="F1339" s="42" t="s">
        <v>140</v>
      </c>
      <c r="G1339" s="42" t="s">
        <v>141</v>
      </c>
      <c r="H1339" s="42" t="s">
        <v>150</v>
      </c>
      <c r="I1339" s="42"/>
      <c r="J1339" s="45" t="s">
        <v>147</v>
      </c>
      <c r="K1339" s="42" t="s">
        <v>144</v>
      </c>
      <c r="L1339" s="42" t="s">
        <v>144</v>
      </c>
      <c r="M1339" s="44" t="s">
        <v>1712</v>
      </c>
    </row>
    <row r="1340" spans="1:13" x14ac:dyDescent="0.35">
      <c r="A1340" s="42">
        <v>1369</v>
      </c>
      <c r="B1340" s="42" t="s">
        <v>136</v>
      </c>
      <c r="C1340" s="42" t="s">
        <v>199</v>
      </c>
      <c r="D1340" s="42" t="s">
        <v>138</v>
      </c>
      <c r="E1340" s="42" t="s">
        <v>274</v>
      </c>
      <c r="F1340" s="42" t="s">
        <v>140</v>
      </c>
      <c r="G1340" s="42" t="s">
        <v>141</v>
      </c>
      <c r="H1340" s="42" t="s">
        <v>156</v>
      </c>
      <c r="I1340" s="42"/>
      <c r="J1340" s="43" t="s">
        <v>143</v>
      </c>
      <c r="K1340" s="42" t="s">
        <v>144</v>
      </c>
      <c r="L1340" s="42" t="s">
        <v>250</v>
      </c>
      <c r="M1340" s="44" t="s">
        <v>1713</v>
      </c>
    </row>
    <row r="1341" spans="1:13" x14ac:dyDescent="0.35">
      <c r="A1341" s="42">
        <v>1369</v>
      </c>
      <c r="B1341" s="42" t="s">
        <v>136</v>
      </c>
      <c r="C1341" s="42" t="s">
        <v>199</v>
      </c>
      <c r="D1341" s="42" t="s">
        <v>138</v>
      </c>
      <c r="E1341" s="42" t="s">
        <v>274</v>
      </c>
      <c r="F1341" s="42" t="s">
        <v>140</v>
      </c>
      <c r="G1341" s="42" t="s">
        <v>141</v>
      </c>
      <c r="H1341" s="42" t="s">
        <v>156</v>
      </c>
      <c r="I1341" s="42"/>
      <c r="J1341" s="43" t="s">
        <v>143</v>
      </c>
      <c r="K1341" s="42" t="s">
        <v>78</v>
      </c>
      <c r="L1341" s="42" t="s">
        <v>78</v>
      </c>
      <c r="M1341" s="44" t="s">
        <v>1714</v>
      </c>
    </row>
    <row r="1342" spans="1:13" x14ac:dyDescent="0.35">
      <c r="A1342" s="42">
        <v>1370</v>
      </c>
      <c r="B1342" s="42" t="s">
        <v>136</v>
      </c>
      <c r="C1342" s="42" t="s">
        <v>199</v>
      </c>
      <c r="D1342" s="42" t="s">
        <v>176</v>
      </c>
      <c r="E1342" s="42" t="s">
        <v>206</v>
      </c>
      <c r="F1342" s="42" t="s">
        <v>206</v>
      </c>
      <c r="G1342" s="42" t="s">
        <v>141</v>
      </c>
      <c r="H1342" s="42" t="s">
        <v>166</v>
      </c>
      <c r="I1342" s="42">
        <v>6</v>
      </c>
      <c r="J1342" s="43" t="s">
        <v>143</v>
      </c>
      <c r="K1342" s="42" t="s">
        <v>196</v>
      </c>
      <c r="L1342" s="42" t="s">
        <v>196</v>
      </c>
      <c r="M1342" s="44" t="s">
        <v>1715</v>
      </c>
    </row>
    <row r="1343" spans="1:13" ht="25" x14ac:dyDescent="0.35">
      <c r="A1343" s="42">
        <v>1370</v>
      </c>
      <c r="B1343" s="42" t="s">
        <v>136</v>
      </c>
      <c r="C1343" s="42" t="s">
        <v>199</v>
      </c>
      <c r="D1343" s="42" t="s">
        <v>176</v>
      </c>
      <c r="E1343" s="42" t="s">
        <v>206</v>
      </c>
      <c r="F1343" s="42" t="s">
        <v>206</v>
      </c>
      <c r="G1343" s="42" t="s">
        <v>141</v>
      </c>
      <c r="H1343" s="42" t="s">
        <v>180</v>
      </c>
      <c r="I1343" s="42">
        <v>6</v>
      </c>
      <c r="J1343" s="43" t="s">
        <v>143</v>
      </c>
      <c r="K1343" s="42" t="s">
        <v>196</v>
      </c>
      <c r="L1343" s="42" t="s">
        <v>517</v>
      </c>
      <c r="M1343" s="44" t="s">
        <v>1716</v>
      </c>
    </row>
    <row r="1344" spans="1:13" ht="25" x14ac:dyDescent="0.35">
      <c r="A1344" s="42">
        <v>1370</v>
      </c>
      <c r="B1344" s="42" t="s">
        <v>136</v>
      </c>
      <c r="C1344" s="42" t="s">
        <v>199</v>
      </c>
      <c r="D1344" s="42" t="s">
        <v>176</v>
      </c>
      <c r="E1344" s="42" t="s">
        <v>206</v>
      </c>
      <c r="F1344" s="42" t="s">
        <v>206</v>
      </c>
      <c r="G1344" s="42" t="s">
        <v>141</v>
      </c>
      <c r="H1344" s="42" t="s">
        <v>146</v>
      </c>
      <c r="I1344" s="42">
        <v>8</v>
      </c>
      <c r="J1344" s="46" t="s">
        <v>222</v>
      </c>
      <c r="K1344" s="42" t="s">
        <v>484</v>
      </c>
      <c r="L1344" s="42" t="s">
        <v>484</v>
      </c>
      <c r="M1344" s="44" t="s">
        <v>1717</v>
      </c>
    </row>
    <row r="1345" spans="1:13" x14ac:dyDescent="0.35">
      <c r="A1345" s="42">
        <v>1370</v>
      </c>
      <c r="B1345" s="42" t="s">
        <v>136</v>
      </c>
      <c r="C1345" s="42" t="s">
        <v>199</v>
      </c>
      <c r="D1345" s="42" t="s">
        <v>176</v>
      </c>
      <c r="E1345" s="42" t="s">
        <v>206</v>
      </c>
      <c r="F1345" s="42" t="s">
        <v>206</v>
      </c>
      <c r="G1345" s="42" t="s">
        <v>141</v>
      </c>
      <c r="H1345" s="42" t="s">
        <v>150</v>
      </c>
      <c r="I1345" s="42"/>
      <c r="J1345" s="45" t="s">
        <v>147</v>
      </c>
      <c r="K1345" s="42" t="s">
        <v>181</v>
      </c>
      <c r="L1345" s="42" t="s">
        <v>181</v>
      </c>
      <c r="M1345" s="44" t="s">
        <v>1718</v>
      </c>
    </row>
    <row r="1346" spans="1:13" x14ac:dyDescent="0.35">
      <c r="A1346" s="42">
        <v>1370</v>
      </c>
      <c r="B1346" s="42" t="s">
        <v>136</v>
      </c>
      <c r="C1346" s="42" t="s">
        <v>199</v>
      </c>
      <c r="D1346" s="42" t="s">
        <v>176</v>
      </c>
      <c r="E1346" s="42" t="s">
        <v>206</v>
      </c>
      <c r="F1346" s="42" t="s">
        <v>206</v>
      </c>
      <c r="G1346" s="42" t="s">
        <v>141</v>
      </c>
      <c r="H1346" s="42" t="s">
        <v>150</v>
      </c>
      <c r="I1346" s="42"/>
      <c r="J1346" s="45" t="s">
        <v>147</v>
      </c>
      <c r="K1346" s="42" t="s">
        <v>196</v>
      </c>
      <c r="L1346" s="42" t="s">
        <v>217</v>
      </c>
      <c r="M1346" s="44" t="s">
        <v>1719</v>
      </c>
    </row>
    <row r="1347" spans="1:13" x14ac:dyDescent="0.35">
      <c r="A1347" s="42">
        <v>1370</v>
      </c>
      <c r="B1347" s="42" t="s">
        <v>136</v>
      </c>
      <c r="C1347" s="42" t="s">
        <v>199</v>
      </c>
      <c r="D1347" s="42" t="s">
        <v>176</v>
      </c>
      <c r="E1347" s="42" t="s">
        <v>206</v>
      </c>
      <c r="F1347" s="42" t="s">
        <v>206</v>
      </c>
      <c r="G1347" s="42" t="s">
        <v>141</v>
      </c>
      <c r="H1347" s="42" t="s">
        <v>150</v>
      </c>
      <c r="I1347" s="42"/>
      <c r="J1347" s="45" t="s">
        <v>147</v>
      </c>
      <c r="K1347" s="42" t="s">
        <v>80</v>
      </c>
      <c r="L1347" s="42" t="s">
        <v>80</v>
      </c>
      <c r="M1347" s="44" t="s">
        <v>1720</v>
      </c>
    </row>
    <row r="1348" spans="1:13" x14ac:dyDescent="0.35">
      <c r="A1348" s="42">
        <v>1370</v>
      </c>
      <c r="B1348" s="42" t="s">
        <v>136</v>
      </c>
      <c r="C1348" s="42" t="s">
        <v>199</v>
      </c>
      <c r="D1348" s="42" t="s">
        <v>176</v>
      </c>
      <c r="E1348" s="42" t="s">
        <v>206</v>
      </c>
      <c r="F1348" s="42" t="s">
        <v>206</v>
      </c>
      <c r="G1348" s="42" t="s">
        <v>141</v>
      </c>
      <c r="H1348" s="42" t="s">
        <v>156</v>
      </c>
      <c r="I1348" s="42"/>
      <c r="J1348" s="43" t="s">
        <v>143</v>
      </c>
      <c r="K1348" s="42" t="s">
        <v>196</v>
      </c>
      <c r="L1348" s="42" t="s">
        <v>517</v>
      </c>
      <c r="M1348" s="44" t="s">
        <v>1721</v>
      </c>
    </row>
    <row r="1349" spans="1:13" x14ac:dyDescent="0.35">
      <c r="A1349" s="42">
        <v>1370</v>
      </c>
      <c r="B1349" s="42" t="s">
        <v>136</v>
      </c>
      <c r="C1349" s="42" t="s">
        <v>199</v>
      </c>
      <c r="D1349" s="42" t="s">
        <v>176</v>
      </c>
      <c r="E1349" s="42" t="s">
        <v>206</v>
      </c>
      <c r="F1349" s="42" t="s">
        <v>206</v>
      </c>
      <c r="G1349" s="42" t="s">
        <v>141</v>
      </c>
      <c r="H1349" s="42" t="s">
        <v>156</v>
      </c>
      <c r="I1349" s="42"/>
      <c r="J1349" s="43" t="s">
        <v>143</v>
      </c>
      <c r="K1349" s="42" t="s">
        <v>144</v>
      </c>
      <c r="L1349" s="42" t="s">
        <v>144</v>
      </c>
      <c r="M1349" s="44" t="s">
        <v>215</v>
      </c>
    </row>
    <row r="1350" spans="1:13" x14ac:dyDescent="0.35">
      <c r="A1350" s="42">
        <v>1370</v>
      </c>
      <c r="B1350" s="42" t="s">
        <v>136</v>
      </c>
      <c r="C1350" s="42" t="s">
        <v>199</v>
      </c>
      <c r="D1350" s="42" t="s">
        <v>176</v>
      </c>
      <c r="E1350" s="42" t="s">
        <v>206</v>
      </c>
      <c r="F1350" s="42" t="s">
        <v>206</v>
      </c>
      <c r="G1350" s="42" t="s">
        <v>141</v>
      </c>
      <c r="H1350" s="42" t="s">
        <v>156</v>
      </c>
      <c r="I1350" s="42"/>
      <c r="J1350" s="43" t="s">
        <v>143</v>
      </c>
      <c r="K1350" s="42" t="s">
        <v>84</v>
      </c>
      <c r="L1350" s="42" t="s">
        <v>1722</v>
      </c>
      <c r="M1350" s="44" t="s">
        <v>1723</v>
      </c>
    </row>
    <row r="1351" spans="1:13" x14ac:dyDescent="0.35">
      <c r="A1351" s="42">
        <v>1371</v>
      </c>
      <c r="B1351" s="42" t="s">
        <v>136</v>
      </c>
      <c r="C1351" s="42" t="s">
        <v>137</v>
      </c>
      <c r="D1351" s="42" t="s">
        <v>159</v>
      </c>
      <c r="E1351" s="42" t="s">
        <v>139</v>
      </c>
      <c r="F1351" s="42" t="s">
        <v>140</v>
      </c>
      <c r="G1351" s="42" t="s">
        <v>141</v>
      </c>
      <c r="H1351" s="42" t="s">
        <v>146</v>
      </c>
      <c r="I1351" s="42">
        <v>10</v>
      </c>
      <c r="J1351" s="45" t="s">
        <v>147</v>
      </c>
      <c r="K1351" s="42" t="s">
        <v>305</v>
      </c>
      <c r="L1351" s="42" t="s">
        <v>1724</v>
      </c>
      <c r="M1351" s="44" t="s">
        <v>1725</v>
      </c>
    </row>
    <row r="1352" spans="1:13" x14ac:dyDescent="0.35">
      <c r="A1352" s="42">
        <v>1371</v>
      </c>
      <c r="B1352" s="42" t="s">
        <v>136</v>
      </c>
      <c r="C1352" s="42" t="s">
        <v>137</v>
      </c>
      <c r="D1352" s="42" t="s">
        <v>159</v>
      </c>
      <c r="E1352" s="42" t="s">
        <v>139</v>
      </c>
      <c r="F1352" s="42" t="s">
        <v>140</v>
      </c>
      <c r="G1352" s="42" t="s">
        <v>141</v>
      </c>
      <c r="H1352" s="42" t="s">
        <v>156</v>
      </c>
      <c r="I1352" s="42"/>
      <c r="J1352" s="43" t="s">
        <v>143</v>
      </c>
      <c r="K1352" s="42" t="s">
        <v>144</v>
      </c>
      <c r="L1352" s="42" t="s">
        <v>144</v>
      </c>
      <c r="M1352" s="44" t="s">
        <v>273</v>
      </c>
    </row>
    <row r="1353" spans="1:13" x14ac:dyDescent="0.35">
      <c r="A1353" s="42">
        <v>1371</v>
      </c>
      <c r="B1353" s="42" t="s">
        <v>136</v>
      </c>
      <c r="C1353" s="42" t="s">
        <v>137</v>
      </c>
      <c r="D1353" s="42" t="s">
        <v>159</v>
      </c>
      <c r="E1353" s="42" t="s">
        <v>139</v>
      </c>
      <c r="F1353" s="42" t="s">
        <v>140</v>
      </c>
      <c r="G1353" s="42" t="s">
        <v>141</v>
      </c>
      <c r="H1353" s="42" t="s">
        <v>156</v>
      </c>
      <c r="I1353" s="42"/>
      <c r="J1353" s="43" t="s">
        <v>143</v>
      </c>
      <c r="K1353" s="42" t="s">
        <v>187</v>
      </c>
      <c r="L1353" s="42" t="s">
        <v>1726</v>
      </c>
      <c r="M1353" s="44" t="s">
        <v>1727</v>
      </c>
    </row>
    <row r="1354" spans="1:13" ht="37.5" x14ac:dyDescent="0.35">
      <c r="A1354" s="42">
        <v>1372</v>
      </c>
      <c r="B1354" s="42" t="s">
        <v>175</v>
      </c>
      <c r="C1354" s="42" t="s">
        <v>137</v>
      </c>
      <c r="D1354" s="42" t="s">
        <v>159</v>
      </c>
      <c r="E1354" s="42" t="s">
        <v>274</v>
      </c>
      <c r="F1354" s="42" t="s">
        <v>140</v>
      </c>
      <c r="G1354" s="42" t="s">
        <v>141</v>
      </c>
      <c r="H1354" s="42" t="s">
        <v>163</v>
      </c>
      <c r="I1354" s="42"/>
      <c r="J1354" s="43" t="s">
        <v>143</v>
      </c>
      <c r="K1354" s="42" t="s">
        <v>144</v>
      </c>
      <c r="L1354" s="42" t="s">
        <v>1728</v>
      </c>
      <c r="M1354" s="44" t="s">
        <v>1729</v>
      </c>
    </row>
    <row r="1355" spans="1:13" ht="37.5" x14ac:dyDescent="0.35">
      <c r="A1355" s="42">
        <v>1372</v>
      </c>
      <c r="B1355" s="42" t="s">
        <v>175</v>
      </c>
      <c r="C1355" s="42" t="s">
        <v>137</v>
      </c>
      <c r="D1355" s="42" t="s">
        <v>159</v>
      </c>
      <c r="E1355" s="42" t="s">
        <v>274</v>
      </c>
      <c r="F1355" s="42" t="s">
        <v>140</v>
      </c>
      <c r="G1355" s="42" t="s">
        <v>141</v>
      </c>
      <c r="H1355" s="42" t="s">
        <v>177</v>
      </c>
      <c r="I1355" s="42">
        <v>4</v>
      </c>
      <c r="J1355" s="43" t="s">
        <v>143</v>
      </c>
      <c r="K1355" s="42" t="s">
        <v>196</v>
      </c>
      <c r="L1355" s="42" t="s">
        <v>217</v>
      </c>
      <c r="M1355" s="44" t="s">
        <v>1730</v>
      </c>
    </row>
    <row r="1356" spans="1:13" ht="62.5" x14ac:dyDescent="0.35">
      <c r="A1356" s="42">
        <v>1372</v>
      </c>
      <c r="B1356" s="42" t="s">
        <v>175</v>
      </c>
      <c r="C1356" s="42" t="s">
        <v>137</v>
      </c>
      <c r="D1356" s="42" t="s">
        <v>159</v>
      </c>
      <c r="E1356" s="42" t="s">
        <v>274</v>
      </c>
      <c r="F1356" s="42" t="s">
        <v>140</v>
      </c>
      <c r="G1356" s="42" t="s">
        <v>141</v>
      </c>
      <c r="H1356" s="42" t="s">
        <v>180</v>
      </c>
      <c r="I1356" s="42">
        <v>5</v>
      </c>
      <c r="J1356" s="43" t="s">
        <v>143</v>
      </c>
      <c r="K1356" s="42" t="s">
        <v>262</v>
      </c>
      <c r="L1356" s="42" t="s">
        <v>1731</v>
      </c>
      <c r="M1356" s="44" t="s">
        <v>1732</v>
      </c>
    </row>
    <row r="1357" spans="1:13" ht="25" x14ac:dyDescent="0.35">
      <c r="A1357" s="42">
        <v>1372</v>
      </c>
      <c r="B1357" s="42" t="s">
        <v>175</v>
      </c>
      <c r="C1357" s="42" t="s">
        <v>137</v>
      </c>
      <c r="D1357" s="42" t="s">
        <v>159</v>
      </c>
      <c r="E1357" s="42" t="s">
        <v>274</v>
      </c>
      <c r="F1357" s="42" t="s">
        <v>140</v>
      </c>
      <c r="G1357" s="42" t="s">
        <v>141</v>
      </c>
      <c r="H1357" s="42" t="s">
        <v>146</v>
      </c>
      <c r="I1357" s="42">
        <v>5</v>
      </c>
      <c r="J1357" s="43" t="s">
        <v>143</v>
      </c>
      <c r="K1357" s="42" t="s">
        <v>76</v>
      </c>
      <c r="L1357" s="42" t="s">
        <v>1733</v>
      </c>
      <c r="M1357" s="44" t="s">
        <v>1734</v>
      </c>
    </row>
    <row r="1358" spans="1:13" x14ac:dyDescent="0.35">
      <c r="A1358" s="42">
        <v>1372</v>
      </c>
      <c r="B1358" s="42" t="s">
        <v>175</v>
      </c>
      <c r="C1358" s="42" t="s">
        <v>137</v>
      </c>
      <c r="D1358" s="42" t="s">
        <v>159</v>
      </c>
      <c r="E1358" s="42" t="s">
        <v>274</v>
      </c>
      <c r="F1358" s="42" t="s">
        <v>140</v>
      </c>
      <c r="G1358" s="42" t="s">
        <v>141</v>
      </c>
      <c r="H1358" s="42" t="s">
        <v>150</v>
      </c>
      <c r="I1358" s="42"/>
      <c r="J1358" s="45" t="s">
        <v>147</v>
      </c>
      <c r="K1358" s="42" t="s">
        <v>76</v>
      </c>
      <c r="L1358" s="42" t="s">
        <v>1735</v>
      </c>
      <c r="M1358" s="44" t="s">
        <v>1736</v>
      </c>
    </row>
    <row r="1359" spans="1:13" x14ac:dyDescent="0.35">
      <c r="A1359" s="42">
        <v>1372</v>
      </c>
      <c r="B1359" s="42" t="s">
        <v>175</v>
      </c>
      <c r="C1359" s="42" t="s">
        <v>137</v>
      </c>
      <c r="D1359" s="42" t="s">
        <v>159</v>
      </c>
      <c r="E1359" s="42" t="s">
        <v>274</v>
      </c>
      <c r="F1359" s="42" t="s">
        <v>140</v>
      </c>
      <c r="G1359" s="42" t="s">
        <v>141</v>
      </c>
      <c r="H1359" s="42" t="s">
        <v>150</v>
      </c>
      <c r="I1359" s="42"/>
      <c r="J1359" s="45" t="s">
        <v>147</v>
      </c>
      <c r="K1359" s="42" t="s">
        <v>190</v>
      </c>
      <c r="L1359" s="42" t="s">
        <v>190</v>
      </c>
      <c r="M1359" s="44" t="s">
        <v>1737</v>
      </c>
    </row>
    <row r="1360" spans="1:13" x14ac:dyDescent="0.35">
      <c r="A1360" s="42">
        <v>1372</v>
      </c>
      <c r="B1360" s="42" t="s">
        <v>175</v>
      </c>
      <c r="C1360" s="42" t="s">
        <v>137</v>
      </c>
      <c r="D1360" s="42" t="s">
        <v>159</v>
      </c>
      <c r="E1360" s="42" t="s">
        <v>274</v>
      </c>
      <c r="F1360" s="42" t="s">
        <v>140</v>
      </c>
      <c r="G1360" s="42" t="s">
        <v>141</v>
      </c>
      <c r="H1360" s="42" t="s">
        <v>156</v>
      </c>
      <c r="I1360" s="42"/>
      <c r="J1360" s="43" t="s">
        <v>143</v>
      </c>
      <c r="K1360" s="42" t="s">
        <v>190</v>
      </c>
      <c r="L1360" s="42" t="s">
        <v>190</v>
      </c>
      <c r="M1360" s="44" t="s">
        <v>1738</v>
      </c>
    </row>
    <row r="1361" spans="1:13" ht="25" x14ac:dyDescent="0.35">
      <c r="A1361" s="42">
        <v>1372</v>
      </c>
      <c r="B1361" s="42" t="s">
        <v>175</v>
      </c>
      <c r="C1361" s="42" t="s">
        <v>137</v>
      </c>
      <c r="D1361" s="42" t="s">
        <v>159</v>
      </c>
      <c r="E1361" s="42" t="s">
        <v>274</v>
      </c>
      <c r="F1361" s="42" t="s">
        <v>140</v>
      </c>
      <c r="G1361" s="42" t="s">
        <v>141</v>
      </c>
      <c r="H1361" s="42" t="s">
        <v>156</v>
      </c>
      <c r="I1361" s="42"/>
      <c r="J1361" s="43" t="s">
        <v>143</v>
      </c>
      <c r="K1361" s="42" t="s">
        <v>196</v>
      </c>
      <c r="L1361" s="42" t="s">
        <v>1739</v>
      </c>
      <c r="M1361" s="44" t="s">
        <v>1740</v>
      </c>
    </row>
    <row r="1362" spans="1:13" x14ac:dyDescent="0.35">
      <c r="A1362" s="42">
        <v>1372</v>
      </c>
      <c r="B1362" s="42" t="s">
        <v>175</v>
      </c>
      <c r="C1362" s="42" t="s">
        <v>137</v>
      </c>
      <c r="D1362" s="42" t="s">
        <v>159</v>
      </c>
      <c r="E1362" s="42" t="s">
        <v>274</v>
      </c>
      <c r="F1362" s="42" t="s">
        <v>140</v>
      </c>
      <c r="G1362" s="42" t="s">
        <v>141</v>
      </c>
      <c r="H1362" s="42" t="s">
        <v>156</v>
      </c>
      <c r="I1362" s="42"/>
      <c r="J1362" s="43" t="s">
        <v>143</v>
      </c>
      <c r="K1362" s="42" t="s">
        <v>262</v>
      </c>
      <c r="L1362" s="42" t="s">
        <v>1741</v>
      </c>
      <c r="M1362" s="44" t="s">
        <v>1742</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95"/>
  <sheetViews>
    <sheetView zoomScaleNormal="100" workbookViewId="0">
      <pane ySplit="1" topLeftCell="A2" activePane="bottomLeft" state="frozen"/>
      <selection pane="bottomLeft"/>
    </sheetView>
  </sheetViews>
  <sheetFormatPr defaultColWidth="8.6328125" defaultRowHeight="14.5" x14ac:dyDescent="0.35"/>
  <cols>
    <col min="1" max="14" width="11" customWidth="1"/>
    <col min="15" max="15" width="26" customWidth="1"/>
  </cols>
  <sheetData>
    <row r="1" spans="1:15" ht="39" x14ac:dyDescent="0.35">
      <c r="A1" s="38" t="s">
        <v>123</v>
      </c>
      <c r="B1" s="38" t="s">
        <v>124</v>
      </c>
      <c r="C1" s="38" t="s">
        <v>125</v>
      </c>
      <c r="D1" s="38" t="s">
        <v>126</v>
      </c>
      <c r="E1" s="38" t="s">
        <v>128</v>
      </c>
      <c r="F1" s="38" t="s">
        <v>129</v>
      </c>
      <c r="G1" s="38" t="s">
        <v>1743</v>
      </c>
      <c r="H1" s="38" t="s">
        <v>1744</v>
      </c>
      <c r="I1" s="38" t="s">
        <v>1745</v>
      </c>
      <c r="J1" s="38" t="s">
        <v>1746</v>
      </c>
      <c r="K1" s="38" t="s">
        <v>1747</v>
      </c>
      <c r="L1" s="38" t="s">
        <v>1748</v>
      </c>
      <c r="M1" s="38" t="s">
        <v>1749</v>
      </c>
      <c r="N1" s="38" t="s">
        <v>1750</v>
      </c>
      <c r="O1" s="38" t="s">
        <v>1751</v>
      </c>
    </row>
    <row r="2" spans="1:15" x14ac:dyDescent="0.35">
      <c r="A2" s="42">
        <v>787</v>
      </c>
      <c r="B2" s="42" t="s">
        <v>136</v>
      </c>
      <c r="C2" s="42" t="s">
        <v>137</v>
      </c>
      <c r="D2" s="42" t="s">
        <v>138</v>
      </c>
      <c r="E2" s="42" t="s">
        <v>140</v>
      </c>
      <c r="F2" s="42" t="s">
        <v>141</v>
      </c>
      <c r="G2" s="42">
        <v>10</v>
      </c>
      <c r="H2" s="42"/>
      <c r="I2" s="42">
        <v>6</v>
      </c>
      <c r="J2" s="42"/>
      <c r="K2" s="42"/>
      <c r="L2" s="42"/>
      <c r="M2" s="42">
        <v>8</v>
      </c>
      <c r="N2" s="42">
        <v>10</v>
      </c>
      <c r="O2" s="42"/>
    </row>
    <row r="3" spans="1:15" x14ac:dyDescent="0.35">
      <c r="A3" s="42">
        <v>1282</v>
      </c>
      <c r="B3" s="42" t="s">
        <v>136</v>
      </c>
      <c r="C3" s="42" t="s">
        <v>137</v>
      </c>
      <c r="D3" s="42" t="s">
        <v>159</v>
      </c>
      <c r="E3" s="42" t="s">
        <v>160</v>
      </c>
      <c r="F3" s="42" t="s">
        <v>141</v>
      </c>
      <c r="G3" s="42">
        <v>8</v>
      </c>
      <c r="H3" s="42"/>
      <c r="I3" s="42">
        <v>6</v>
      </c>
      <c r="J3" s="42"/>
      <c r="K3" s="42">
        <v>6</v>
      </c>
      <c r="L3" s="42">
        <v>8</v>
      </c>
      <c r="M3" s="42">
        <v>9</v>
      </c>
      <c r="N3" s="42"/>
      <c r="O3" s="42" t="s">
        <v>1752</v>
      </c>
    </row>
    <row r="4" spans="1:15" x14ac:dyDescent="0.35">
      <c r="A4" s="42">
        <v>796</v>
      </c>
      <c r="B4" s="42" t="s">
        <v>175</v>
      </c>
      <c r="C4" s="42" t="s">
        <v>137</v>
      </c>
      <c r="D4" s="42" t="s">
        <v>176</v>
      </c>
      <c r="E4" s="42" t="s">
        <v>160</v>
      </c>
      <c r="F4" s="42" t="s">
        <v>141</v>
      </c>
      <c r="G4" s="42">
        <v>7</v>
      </c>
      <c r="H4" s="42">
        <v>7</v>
      </c>
      <c r="I4" s="42">
        <v>7</v>
      </c>
      <c r="J4" s="42">
        <v>6</v>
      </c>
      <c r="K4" s="42">
        <v>7</v>
      </c>
      <c r="L4" s="42">
        <v>6</v>
      </c>
      <c r="M4" s="42">
        <v>6</v>
      </c>
      <c r="N4" s="42">
        <v>9</v>
      </c>
      <c r="O4" s="42" t="s">
        <v>1753</v>
      </c>
    </row>
    <row r="5" spans="1:15" x14ac:dyDescent="0.35">
      <c r="A5" s="42">
        <v>800</v>
      </c>
      <c r="B5" s="42" t="s">
        <v>136</v>
      </c>
      <c r="C5" s="42" t="s">
        <v>199</v>
      </c>
      <c r="D5" s="42" t="s">
        <v>176</v>
      </c>
      <c r="E5" s="42" t="s">
        <v>140</v>
      </c>
      <c r="F5" s="42" t="s">
        <v>200</v>
      </c>
      <c r="G5" s="42">
        <v>10</v>
      </c>
      <c r="H5" s="42"/>
      <c r="I5" s="42">
        <v>9</v>
      </c>
      <c r="J5" s="42">
        <v>9</v>
      </c>
      <c r="K5" s="42">
        <v>9</v>
      </c>
      <c r="L5" s="42"/>
      <c r="M5" s="42">
        <v>9</v>
      </c>
      <c r="N5" s="42">
        <v>9</v>
      </c>
      <c r="O5" s="42"/>
    </row>
    <row r="6" spans="1:15" x14ac:dyDescent="0.35">
      <c r="A6" s="42">
        <v>802</v>
      </c>
      <c r="B6" s="42" t="s">
        <v>136</v>
      </c>
      <c r="C6" s="42" t="s">
        <v>137</v>
      </c>
      <c r="D6" s="42" t="s">
        <v>159</v>
      </c>
      <c r="E6" s="42" t="s">
        <v>206</v>
      </c>
      <c r="F6" s="42" t="s">
        <v>141</v>
      </c>
      <c r="G6" s="42">
        <v>6</v>
      </c>
      <c r="H6" s="42"/>
      <c r="I6" s="42">
        <v>3</v>
      </c>
      <c r="J6" s="42">
        <v>8</v>
      </c>
      <c r="K6" s="42">
        <v>7</v>
      </c>
      <c r="L6" s="42"/>
      <c r="M6" s="42">
        <v>5</v>
      </c>
      <c r="N6" s="42">
        <v>6</v>
      </c>
      <c r="O6" s="42"/>
    </row>
    <row r="7" spans="1:15" x14ac:dyDescent="0.35">
      <c r="A7" s="42">
        <v>803</v>
      </c>
      <c r="B7" s="42" t="s">
        <v>175</v>
      </c>
      <c r="C7" s="42" t="s">
        <v>199</v>
      </c>
      <c r="D7" s="42" t="s">
        <v>219</v>
      </c>
      <c r="E7" s="42" t="s">
        <v>140</v>
      </c>
      <c r="F7" s="42" t="s">
        <v>141</v>
      </c>
      <c r="G7" s="42">
        <v>6</v>
      </c>
      <c r="H7" s="42">
        <v>8</v>
      </c>
      <c r="I7" s="42"/>
      <c r="J7" s="42"/>
      <c r="K7" s="42">
        <v>6</v>
      </c>
      <c r="L7" s="42">
        <v>6</v>
      </c>
      <c r="M7" s="42">
        <v>7</v>
      </c>
      <c r="N7" s="42">
        <v>7</v>
      </c>
      <c r="O7" s="42"/>
    </row>
    <row r="8" spans="1:15" x14ac:dyDescent="0.35">
      <c r="A8" s="42">
        <v>807</v>
      </c>
      <c r="B8" s="42" t="s">
        <v>136</v>
      </c>
      <c r="C8" s="42" t="s">
        <v>199</v>
      </c>
      <c r="D8" s="42" t="s">
        <v>176</v>
      </c>
      <c r="E8" s="42" t="s">
        <v>140</v>
      </c>
      <c r="F8" s="42" t="s">
        <v>200</v>
      </c>
      <c r="G8" s="42">
        <v>7</v>
      </c>
      <c r="H8" s="42"/>
      <c r="I8" s="42"/>
      <c r="J8" s="42"/>
      <c r="K8" s="42"/>
      <c r="L8" s="42"/>
      <c r="M8" s="42"/>
      <c r="N8" s="42">
        <v>6</v>
      </c>
      <c r="O8" s="42"/>
    </row>
    <row r="9" spans="1:15" x14ac:dyDescent="0.35">
      <c r="A9" s="42">
        <v>809</v>
      </c>
      <c r="B9" s="42" t="s">
        <v>136</v>
      </c>
      <c r="C9" s="42" t="s">
        <v>137</v>
      </c>
      <c r="D9" s="42" t="s">
        <v>138</v>
      </c>
      <c r="E9" s="42" t="s">
        <v>160</v>
      </c>
      <c r="F9" s="42" t="s">
        <v>141</v>
      </c>
      <c r="G9" s="42">
        <v>6</v>
      </c>
      <c r="H9" s="42"/>
      <c r="I9" s="42">
        <v>7</v>
      </c>
      <c r="J9" s="42"/>
      <c r="K9" s="42">
        <v>7</v>
      </c>
      <c r="L9" s="42">
        <v>6</v>
      </c>
      <c r="M9" s="42">
        <v>7</v>
      </c>
      <c r="N9" s="42">
        <v>9</v>
      </c>
      <c r="O9" s="42" t="s">
        <v>1754</v>
      </c>
    </row>
    <row r="10" spans="1:15" x14ac:dyDescent="0.35">
      <c r="A10" s="42">
        <v>889</v>
      </c>
      <c r="B10" s="42" t="s">
        <v>136</v>
      </c>
      <c r="C10" s="42" t="s">
        <v>199</v>
      </c>
      <c r="D10" s="42" t="s">
        <v>159</v>
      </c>
      <c r="E10" s="42" t="s">
        <v>160</v>
      </c>
      <c r="F10" s="42" t="s">
        <v>141</v>
      </c>
      <c r="G10" s="42">
        <v>9</v>
      </c>
      <c r="H10" s="42"/>
      <c r="I10" s="42"/>
      <c r="J10" s="42"/>
      <c r="K10" s="42"/>
      <c r="L10" s="42"/>
      <c r="M10" s="42">
        <v>9</v>
      </c>
      <c r="N10" s="42">
        <v>9</v>
      </c>
      <c r="O10" s="42"/>
    </row>
    <row r="11" spans="1:15" x14ac:dyDescent="0.35">
      <c r="A11" s="42">
        <v>904</v>
      </c>
      <c r="B11" s="42" t="s">
        <v>136</v>
      </c>
      <c r="C11" s="42" t="s">
        <v>199</v>
      </c>
      <c r="D11" s="42" t="s">
        <v>138</v>
      </c>
      <c r="E11" s="42" t="s">
        <v>160</v>
      </c>
      <c r="F11" s="42" t="s">
        <v>141</v>
      </c>
      <c r="G11" s="42">
        <v>6</v>
      </c>
      <c r="H11" s="42"/>
      <c r="I11" s="42">
        <v>9</v>
      </c>
      <c r="J11" s="42">
        <v>6</v>
      </c>
      <c r="K11" s="42"/>
      <c r="L11" s="42"/>
      <c r="M11" s="42">
        <v>8</v>
      </c>
      <c r="N11" s="42">
        <v>9</v>
      </c>
      <c r="O11" s="42"/>
    </row>
    <row r="12" spans="1:15" x14ac:dyDescent="0.35">
      <c r="A12" s="42">
        <v>1010</v>
      </c>
      <c r="B12" s="42" t="s">
        <v>136</v>
      </c>
      <c r="C12" s="42" t="s">
        <v>199</v>
      </c>
      <c r="D12" s="42" t="s">
        <v>159</v>
      </c>
      <c r="E12" s="42" t="s">
        <v>160</v>
      </c>
      <c r="F12" s="42" t="s">
        <v>141</v>
      </c>
      <c r="G12" s="42">
        <v>9</v>
      </c>
      <c r="H12" s="42"/>
      <c r="I12" s="42">
        <v>9</v>
      </c>
      <c r="J12" s="42"/>
      <c r="K12" s="42"/>
      <c r="L12" s="42"/>
      <c r="M12" s="42">
        <v>7</v>
      </c>
      <c r="N12" s="42">
        <v>9</v>
      </c>
      <c r="O12" s="42" t="s">
        <v>1754</v>
      </c>
    </row>
    <row r="13" spans="1:15" x14ac:dyDescent="0.35">
      <c r="A13" s="42">
        <v>819</v>
      </c>
      <c r="B13" s="42" t="s">
        <v>136</v>
      </c>
      <c r="C13" s="42" t="s">
        <v>199</v>
      </c>
      <c r="D13" s="42" t="s">
        <v>159</v>
      </c>
      <c r="E13" s="42" t="s">
        <v>140</v>
      </c>
      <c r="F13" s="42" t="s">
        <v>141</v>
      </c>
      <c r="G13" s="42">
        <v>1</v>
      </c>
      <c r="H13" s="42"/>
      <c r="I13" s="42">
        <v>7</v>
      </c>
      <c r="J13" s="42">
        <v>1</v>
      </c>
      <c r="K13" s="42">
        <v>2</v>
      </c>
      <c r="L13" s="42">
        <v>3</v>
      </c>
      <c r="M13" s="42">
        <v>7</v>
      </c>
      <c r="N13" s="42">
        <v>3</v>
      </c>
      <c r="O13" s="42" t="s">
        <v>1752</v>
      </c>
    </row>
    <row r="14" spans="1:15" x14ac:dyDescent="0.35">
      <c r="A14" s="42">
        <v>822</v>
      </c>
      <c r="B14" s="42" t="s">
        <v>136</v>
      </c>
      <c r="C14" s="42" t="s">
        <v>137</v>
      </c>
      <c r="D14" s="42" t="s">
        <v>176</v>
      </c>
      <c r="E14" s="42" t="s">
        <v>140</v>
      </c>
      <c r="F14" s="42" t="s">
        <v>141</v>
      </c>
      <c r="G14" s="42">
        <v>7</v>
      </c>
      <c r="H14" s="42"/>
      <c r="I14" s="42">
        <v>8</v>
      </c>
      <c r="J14" s="42">
        <v>8</v>
      </c>
      <c r="K14" s="42">
        <v>6</v>
      </c>
      <c r="L14" s="42">
        <v>7</v>
      </c>
      <c r="M14" s="42">
        <v>9</v>
      </c>
      <c r="N14" s="42">
        <v>7</v>
      </c>
      <c r="O14" s="42"/>
    </row>
    <row r="15" spans="1:15" x14ac:dyDescent="0.35">
      <c r="A15" s="42">
        <v>1018</v>
      </c>
      <c r="B15" s="42" t="s">
        <v>175</v>
      </c>
      <c r="C15" s="42" t="s">
        <v>199</v>
      </c>
      <c r="D15" s="42" t="s">
        <v>176</v>
      </c>
      <c r="E15" s="42" t="s">
        <v>160</v>
      </c>
      <c r="F15" s="42" t="s">
        <v>141</v>
      </c>
      <c r="G15" s="42">
        <v>8</v>
      </c>
      <c r="H15" s="42">
        <v>9</v>
      </c>
      <c r="I15" s="42">
        <v>7</v>
      </c>
      <c r="J15" s="42"/>
      <c r="K15" s="42">
        <v>9</v>
      </c>
      <c r="L15" s="42">
        <v>9</v>
      </c>
      <c r="M15" s="42"/>
      <c r="N15" s="42">
        <v>9</v>
      </c>
      <c r="O15" s="42"/>
    </row>
    <row r="16" spans="1:15" x14ac:dyDescent="0.35">
      <c r="A16" s="42">
        <v>1031</v>
      </c>
      <c r="B16" s="42" t="s">
        <v>136</v>
      </c>
      <c r="C16" s="42" t="s">
        <v>137</v>
      </c>
      <c r="D16" s="42" t="s">
        <v>176</v>
      </c>
      <c r="E16" s="42" t="s">
        <v>160</v>
      </c>
      <c r="F16" s="42" t="s">
        <v>141</v>
      </c>
      <c r="G16" s="42">
        <v>7</v>
      </c>
      <c r="H16" s="42">
        <v>8</v>
      </c>
      <c r="I16" s="42">
        <v>7</v>
      </c>
      <c r="J16" s="42">
        <v>6</v>
      </c>
      <c r="K16" s="42">
        <v>7</v>
      </c>
      <c r="L16" s="42">
        <v>7</v>
      </c>
      <c r="M16" s="42">
        <v>8</v>
      </c>
      <c r="N16" s="42">
        <v>9</v>
      </c>
      <c r="O16" s="42" t="s">
        <v>1754</v>
      </c>
    </row>
    <row r="17" spans="1:15" x14ac:dyDescent="0.35">
      <c r="A17" s="42">
        <v>831</v>
      </c>
      <c r="B17" s="42" t="s">
        <v>136</v>
      </c>
      <c r="C17" s="42" t="s">
        <v>199</v>
      </c>
      <c r="D17" s="42" t="s">
        <v>176</v>
      </c>
      <c r="E17" s="42" t="s">
        <v>140</v>
      </c>
      <c r="F17" s="42" t="s">
        <v>141</v>
      </c>
      <c r="G17" s="42">
        <v>8</v>
      </c>
      <c r="H17" s="42">
        <v>7</v>
      </c>
      <c r="I17" s="42">
        <v>7</v>
      </c>
      <c r="J17" s="42"/>
      <c r="K17" s="42"/>
      <c r="L17" s="42"/>
      <c r="M17" s="42">
        <v>8</v>
      </c>
      <c r="N17" s="42">
        <v>8</v>
      </c>
      <c r="O17" s="42" t="s">
        <v>1753</v>
      </c>
    </row>
    <row r="18" spans="1:15" x14ac:dyDescent="0.35">
      <c r="A18" s="42">
        <v>1077</v>
      </c>
      <c r="B18" s="42" t="s">
        <v>136</v>
      </c>
      <c r="C18" s="42" t="s">
        <v>199</v>
      </c>
      <c r="D18" s="42" t="s">
        <v>159</v>
      </c>
      <c r="E18" s="42" t="s">
        <v>160</v>
      </c>
      <c r="F18" s="42" t="s">
        <v>141</v>
      </c>
      <c r="G18" s="42">
        <v>8</v>
      </c>
      <c r="H18" s="42">
        <v>8</v>
      </c>
      <c r="I18" s="42">
        <v>7</v>
      </c>
      <c r="J18" s="42">
        <v>7</v>
      </c>
      <c r="K18" s="42">
        <v>6</v>
      </c>
      <c r="L18" s="42">
        <v>8</v>
      </c>
      <c r="M18" s="42">
        <v>8</v>
      </c>
      <c r="N18" s="42">
        <v>9</v>
      </c>
      <c r="O18" s="42"/>
    </row>
    <row r="19" spans="1:15" x14ac:dyDescent="0.35">
      <c r="A19" s="42">
        <v>1132</v>
      </c>
      <c r="B19" s="42" t="s">
        <v>136</v>
      </c>
      <c r="C19" s="42" t="s">
        <v>137</v>
      </c>
      <c r="D19" s="42" t="s">
        <v>159</v>
      </c>
      <c r="E19" s="42" t="s">
        <v>160</v>
      </c>
      <c r="F19" s="42" t="s">
        <v>141</v>
      </c>
      <c r="G19" s="42">
        <v>7</v>
      </c>
      <c r="H19" s="42"/>
      <c r="I19" s="42">
        <v>7</v>
      </c>
      <c r="J19" s="42"/>
      <c r="K19" s="42">
        <v>9</v>
      </c>
      <c r="L19" s="42">
        <v>9</v>
      </c>
      <c r="M19" s="42"/>
      <c r="N19" s="42">
        <v>9</v>
      </c>
      <c r="O19" s="42"/>
    </row>
    <row r="20" spans="1:15" x14ac:dyDescent="0.35">
      <c r="A20" s="42">
        <v>1184</v>
      </c>
      <c r="B20" s="42" t="s">
        <v>175</v>
      </c>
      <c r="C20" s="42" t="s">
        <v>199</v>
      </c>
      <c r="D20" s="42" t="s">
        <v>176</v>
      </c>
      <c r="E20" s="42" t="s">
        <v>160</v>
      </c>
      <c r="F20" s="42" t="s">
        <v>141</v>
      </c>
      <c r="G20" s="42">
        <v>7</v>
      </c>
      <c r="H20" s="42"/>
      <c r="I20" s="42">
        <v>6</v>
      </c>
      <c r="J20" s="42"/>
      <c r="K20" s="42">
        <v>4</v>
      </c>
      <c r="L20" s="42">
        <v>8</v>
      </c>
      <c r="M20" s="42"/>
      <c r="N20" s="42">
        <v>9</v>
      </c>
      <c r="O20" s="42" t="s">
        <v>1752</v>
      </c>
    </row>
    <row r="21" spans="1:15" x14ac:dyDescent="0.35">
      <c r="A21" s="42">
        <v>842</v>
      </c>
      <c r="B21" s="42" t="s">
        <v>136</v>
      </c>
      <c r="C21" s="42" t="s">
        <v>137</v>
      </c>
      <c r="D21" s="42" t="s">
        <v>159</v>
      </c>
      <c r="E21" s="42" t="s">
        <v>140</v>
      </c>
      <c r="F21" s="42" t="s">
        <v>141</v>
      </c>
      <c r="G21" s="42">
        <v>6</v>
      </c>
      <c r="H21" s="42">
        <v>7</v>
      </c>
      <c r="I21" s="42"/>
      <c r="J21" s="42">
        <v>7</v>
      </c>
      <c r="K21" s="42">
        <v>5</v>
      </c>
      <c r="L21" s="42">
        <v>7</v>
      </c>
      <c r="M21" s="42">
        <v>8</v>
      </c>
      <c r="N21" s="42">
        <v>8</v>
      </c>
      <c r="O21" s="42"/>
    </row>
    <row r="22" spans="1:15" x14ac:dyDescent="0.35">
      <c r="A22" s="42">
        <v>848</v>
      </c>
      <c r="B22" s="42" t="s">
        <v>136</v>
      </c>
      <c r="C22" s="42" t="s">
        <v>137</v>
      </c>
      <c r="D22" s="42" t="s">
        <v>138</v>
      </c>
      <c r="E22" s="42" t="s">
        <v>140</v>
      </c>
      <c r="F22" s="42" t="s">
        <v>141</v>
      </c>
      <c r="G22" s="42">
        <v>7</v>
      </c>
      <c r="H22" s="42">
        <v>9</v>
      </c>
      <c r="I22" s="42">
        <v>7</v>
      </c>
      <c r="J22" s="42">
        <v>7</v>
      </c>
      <c r="K22" s="42">
        <v>5</v>
      </c>
      <c r="L22" s="42">
        <v>7</v>
      </c>
      <c r="M22" s="42">
        <v>7</v>
      </c>
      <c r="N22" s="42">
        <v>8</v>
      </c>
      <c r="O22" s="42"/>
    </row>
    <row r="23" spans="1:15" x14ac:dyDescent="0.35">
      <c r="A23" s="42">
        <v>1256</v>
      </c>
      <c r="B23" s="42" t="s">
        <v>136</v>
      </c>
      <c r="C23" s="42" t="s">
        <v>137</v>
      </c>
      <c r="D23" s="42" t="s">
        <v>159</v>
      </c>
      <c r="E23" s="42" t="s">
        <v>160</v>
      </c>
      <c r="F23" s="42" t="s">
        <v>141</v>
      </c>
      <c r="G23" s="42">
        <v>7</v>
      </c>
      <c r="H23" s="42"/>
      <c r="I23" s="42">
        <v>8</v>
      </c>
      <c r="J23" s="42"/>
      <c r="K23" s="42"/>
      <c r="L23" s="42">
        <v>9</v>
      </c>
      <c r="M23" s="42"/>
      <c r="N23" s="42">
        <v>9</v>
      </c>
      <c r="O23" s="42" t="s">
        <v>1755</v>
      </c>
    </row>
    <row r="24" spans="1:15" x14ac:dyDescent="0.35">
      <c r="A24" s="42">
        <v>855</v>
      </c>
      <c r="B24" s="42" t="s">
        <v>136</v>
      </c>
      <c r="C24" s="42" t="s">
        <v>199</v>
      </c>
      <c r="D24" s="42" t="s">
        <v>159</v>
      </c>
      <c r="E24" s="42" t="s">
        <v>140</v>
      </c>
      <c r="F24" s="42" t="s">
        <v>141</v>
      </c>
      <c r="G24" s="42">
        <v>8</v>
      </c>
      <c r="H24" s="42">
        <v>5</v>
      </c>
      <c r="I24" s="42"/>
      <c r="J24" s="42"/>
      <c r="K24" s="42"/>
      <c r="L24" s="42">
        <v>7</v>
      </c>
      <c r="M24" s="42">
        <v>6</v>
      </c>
      <c r="N24" s="42">
        <v>7</v>
      </c>
      <c r="O24" s="42"/>
    </row>
    <row r="25" spans="1:15" x14ac:dyDescent="0.35">
      <c r="A25" s="42">
        <v>814</v>
      </c>
      <c r="B25" s="42" t="s">
        <v>136</v>
      </c>
      <c r="C25" s="42" t="s">
        <v>137</v>
      </c>
      <c r="D25" s="42" t="s">
        <v>159</v>
      </c>
      <c r="E25" s="42" t="s">
        <v>160</v>
      </c>
      <c r="F25" s="42" t="s">
        <v>141</v>
      </c>
      <c r="G25" s="42">
        <v>8</v>
      </c>
      <c r="H25" s="42">
        <v>9</v>
      </c>
      <c r="I25" s="42">
        <v>9</v>
      </c>
      <c r="J25" s="42">
        <v>8</v>
      </c>
      <c r="K25" s="42">
        <v>9</v>
      </c>
      <c r="L25" s="42">
        <v>8</v>
      </c>
      <c r="M25" s="42">
        <v>8</v>
      </c>
      <c r="N25" s="42">
        <v>8</v>
      </c>
      <c r="O25" s="42"/>
    </row>
    <row r="26" spans="1:15" x14ac:dyDescent="0.35">
      <c r="A26" s="42">
        <v>826</v>
      </c>
      <c r="B26" s="42" t="s">
        <v>136</v>
      </c>
      <c r="C26" s="42" t="s">
        <v>199</v>
      </c>
      <c r="D26" s="42" t="s">
        <v>159</v>
      </c>
      <c r="E26" s="42" t="s">
        <v>160</v>
      </c>
      <c r="F26" s="42" t="s">
        <v>141</v>
      </c>
      <c r="G26" s="42">
        <v>9</v>
      </c>
      <c r="H26" s="42"/>
      <c r="I26" s="42">
        <v>7</v>
      </c>
      <c r="J26" s="42"/>
      <c r="K26" s="42"/>
      <c r="L26" s="42"/>
      <c r="M26" s="42">
        <v>7</v>
      </c>
      <c r="N26" s="42">
        <v>8</v>
      </c>
      <c r="O26" s="42"/>
    </row>
    <row r="27" spans="1:15" x14ac:dyDescent="0.35">
      <c r="A27" s="42">
        <v>870</v>
      </c>
      <c r="B27" s="42" t="s">
        <v>136</v>
      </c>
      <c r="C27" s="42" t="s">
        <v>199</v>
      </c>
      <c r="D27" s="42" t="s">
        <v>176</v>
      </c>
      <c r="E27" s="42" t="s">
        <v>206</v>
      </c>
      <c r="F27" s="42" t="s">
        <v>200</v>
      </c>
      <c r="G27" s="42">
        <v>7</v>
      </c>
      <c r="H27" s="42"/>
      <c r="I27" s="42">
        <v>8</v>
      </c>
      <c r="J27" s="42"/>
      <c r="K27" s="42">
        <v>9</v>
      </c>
      <c r="L27" s="42"/>
      <c r="M27" s="42">
        <v>9</v>
      </c>
      <c r="N27" s="42">
        <v>9</v>
      </c>
      <c r="O27" s="42" t="s">
        <v>1753</v>
      </c>
    </row>
    <row r="28" spans="1:15" x14ac:dyDescent="0.35">
      <c r="A28" s="42">
        <v>871</v>
      </c>
      <c r="B28" s="42" t="s">
        <v>136</v>
      </c>
      <c r="C28" s="42" t="s">
        <v>199</v>
      </c>
      <c r="D28" s="42" t="s">
        <v>219</v>
      </c>
      <c r="E28" s="42" t="s">
        <v>140</v>
      </c>
      <c r="F28" s="42" t="s">
        <v>141</v>
      </c>
      <c r="G28" s="42">
        <v>8</v>
      </c>
      <c r="H28" s="42">
        <v>9</v>
      </c>
      <c r="I28" s="42">
        <v>5</v>
      </c>
      <c r="J28" s="42">
        <v>7</v>
      </c>
      <c r="K28" s="42">
        <v>7</v>
      </c>
      <c r="L28" s="42">
        <v>8</v>
      </c>
      <c r="M28" s="42">
        <v>7</v>
      </c>
      <c r="N28" s="42">
        <v>10</v>
      </c>
      <c r="O28" s="42"/>
    </row>
    <row r="29" spans="1:15" x14ac:dyDescent="0.35">
      <c r="A29" s="42">
        <v>827</v>
      </c>
      <c r="B29" s="42" t="s">
        <v>136</v>
      </c>
      <c r="C29" s="42" t="s">
        <v>199</v>
      </c>
      <c r="D29" s="42" t="s">
        <v>159</v>
      </c>
      <c r="E29" s="42" t="s">
        <v>160</v>
      </c>
      <c r="F29" s="42" t="s">
        <v>141</v>
      </c>
      <c r="G29" s="42">
        <v>8</v>
      </c>
      <c r="H29" s="42"/>
      <c r="I29" s="42">
        <v>8</v>
      </c>
      <c r="J29" s="42">
        <v>8</v>
      </c>
      <c r="K29" s="42">
        <v>8</v>
      </c>
      <c r="L29" s="42">
        <v>7</v>
      </c>
      <c r="M29" s="42">
        <v>8</v>
      </c>
      <c r="N29" s="42">
        <v>8</v>
      </c>
      <c r="O29" s="42"/>
    </row>
    <row r="30" spans="1:15" x14ac:dyDescent="0.35">
      <c r="A30" s="42">
        <v>876</v>
      </c>
      <c r="B30" s="42" t="s">
        <v>136</v>
      </c>
      <c r="C30" s="42" t="s">
        <v>137</v>
      </c>
      <c r="D30" s="42" t="s">
        <v>159</v>
      </c>
      <c r="E30" s="42" t="s">
        <v>140</v>
      </c>
      <c r="F30" s="42" t="s">
        <v>141</v>
      </c>
      <c r="G30" s="42">
        <v>8</v>
      </c>
      <c r="H30" s="42"/>
      <c r="I30" s="42">
        <v>7</v>
      </c>
      <c r="J30" s="42">
        <v>9</v>
      </c>
      <c r="K30" s="42">
        <v>8</v>
      </c>
      <c r="L30" s="42">
        <v>8</v>
      </c>
      <c r="M30" s="42">
        <v>8</v>
      </c>
      <c r="N30" s="42">
        <v>9</v>
      </c>
      <c r="O30" s="42" t="s">
        <v>1753</v>
      </c>
    </row>
    <row r="31" spans="1:15" x14ac:dyDescent="0.35">
      <c r="A31" s="42">
        <v>832</v>
      </c>
      <c r="B31" s="42" t="s">
        <v>175</v>
      </c>
      <c r="C31" s="42" t="s">
        <v>137</v>
      </c>
      <c r="D31" s="42" t="s">
        <v>159</v>
      </c>
      <c r="E31" s="42" t="s">
        <v>160</v>
      </c>
      <c r="F31" s="42" t="s">
        <v>141</v>
      </c>
      <c r="G31" s="42">
        <v>7</v>
      </c>
      <c r="H31" s="42">
        <v>7</v>
      </c>
      <c r="I31" s="42">
        <v>7</v>
      </c>
      <c r="J31" s="42">
        <v>5</v>
      </c>
      <c r="K31" s="42">
        <v>5</v>
      </c>
      <c r="L31" s="42">
        <v>7</v>
      </c>
      <c r="M31" s="42">
        <v>7</v>
      </c>
      <c r="N31" s="42">
        <v>8</v>
      </c>
      <c r="O31" s="42"/>
    </row>
    <row r="32" spans="1:15" x14ac:dyDescent="0.35">
      <c r="A32" s="42">
        <v>949</v>
      </c>
      <c r="B32" s="42" t="s">
        <v>136</v>
      </c>
      <c r="C32" s="42" t="s">
        <v>137</v>
      </c>
      <c r="D32" s="42" t="s">
        <v>159</v>
      </c>
      <c r="E32" s="42" t="s">
        <v>160</v>
      </c>
      <c r="F32" s="42" t="s">
        <v>141</v>
      </c>
      <c r="G32" s="42">
        <v>6</v>
      </c>
      <c r="H32" s="42">
        <v>9</v>
      </c>
      <c r="I32" s="42"/>
      <c r="J32" s="42">
        <v>8</v>
      </c>
      <c r="K32" s="42">
        <v>7</v>
      </c>
      <c r="L32" s="42">
        <v>7</v>
      </c>
      <c r="M32" s="42">
        <v>8</v>
      </c>
      <c r="N32" s="42">
        <v>8</v>
      </c>
      <c r="O32" s="42"/>
    </row>
    <row r="33" spans="1:15" x14ac:dyDescent="0.35">
      <c r="A33" s="42">
        <v>975</v>
      </c>
      <c r="B33" s="42" t="s">
        <v>136</v>
      </c>
      <c r="C33" s="42" t="s">
        <v>137</v>
      </c>
      <c r="D33" s="42" t="s">
        <v>159</v>
      </c>
      <c r="E33" s="42" t="s">
        <v>160</v>
      </c>
      <c r="F33" s="42" t="s">
        <v>141</v>
      </c>
      <c r="G33" s="42">
        <v>7</v>
      </c>
      <c r="H33" s="42"/>
      <c r="I33" s="42">
        <v>8</v>
      </c>
      <c r="J33" s="42"/>
      <c r="K33" s="42"/>
      <c r="L33" s="42">
        <v>8</v>
      </c>
      <c r="M33" s="42">
        <v>7</v>
      </c>
      <c r="N33" s="42">
        <v>8</v>
      </c>
      <c r="O33" s="42"/>
    </row>
    <row r="34" spans="1:15" x14ac:dyDescent="0.35">
      <c r="A34" s="42">
        <v>1012</v>
      </c>
      <c r="B34" s="42" t="s">
        <v>175</v>
      </c>
      <c r="C34" s="42" t="s">
        <v>199</v>
      </c>
      <c r="D34" s="42" t="s">
        <v>176</v>
      </c>
      <c r="E34" s="42" t="s">
        <v>160</v>
      </c>
      <c r="F34" s="42" t="s">
        <v>200</v>
      </c>
      <c r="G34" s="42">
        <v>6</v>
      </c>
      <c r="H34" s="42"/>
      <c r="I34" s="42">
        <v>8</v>
      </c>
      <c r="J34" s="42"/>
      <c r="K34" s="42"/>
      <c r="L34" s="42"/>
      <c r="M34" s="42">
        <v>8</v>
      </c>
      <c r="N34" s="42">
        <v>8</v>
      </c>
      <c r="O34" s="42" t="s">
        <v>1753</v>
      </c>
    </row>
    <row r="35" spans="1:15" x14ac:dyDescent="0.35">
      <c r="A35" s="42">
        <v>892</v>
      </c>
      <c r="B35" s="42" t="s">
        <v>136</v>
      </c>
      <c r="C35" s="42" t="s">
        <v>137</v>
      </c>
      <c r="D35" s="42" t="s">
        <v>176</v>
      </c>
      <c r="E35" s="42" t="s">
        <v>140</v>
      </c>
      <c r="F35" s="42" t="s">
        <v>141</v>
      </c>
      <c r="G35" s="42">
        <v>7</v>
      </c>
      <c r="H35" s="42"/>
      <c r="I35" s="42">
        <v>8</v>
      </c>
      <c r="J35" s="42"/>
      <c r="K35" s="42">
        <v>5</v>
      </c>
      <c r="L35" s="42">
        <v>6</v>
      </c>
      <c r="M35" s="42">
        <v>8</v>
      </c>
      <c r="N35" s="42">
        <v>8</v>
      </c>
      <c r="O35" s="42"/>
    </row>
    <row r="36" spans="1:15" x14ac:dyDescent="0.35">
      <c r="A36" s="42">
        <v>897</v>
      </c>
      <c r="B36" s="42" t="s">
        <v>136</v>
      </c>
      <c r="C36" s="42" t="s">
        <v>137</v>
      </c>
      <c r="D36" s="42" t="s">
        <v>219</v>
      </c>
      <c r="E36" s="42" t="s">
        <v>140</v>
      </c>
      <c r="F36" s="42" t="s">
        <v>141</v>
      </c>
      <c r="G36" s="42">
        <v>8</v>
      </c>
      <c r="H36" s="42">
        <v>8</v>
      </c>
      <c r="I36" s="42">
        <v>8</v>
      </c>
      <c r="J36" s="42"/>
      <c r="K36" s="42"/>
      <c r="L36" s="42"/>
      <c r="M36" s="42">
        <v>8</v>
      </c>
      <c r="N36" s="42">
        <v>8</v>
      </c>
      <c r="O36" s="42" t="s">
        <v>1754</v>
      </c>
    </row>
    <row r="37" spans="1:15" x14ac:dyDescent="0.35">
      <c r="A37" s="42">
        <v>1013</v>
      </c>
      <c r="B37" s="42" t="s">
        <v>175</v>
      </c>
      <c r="C37" s="42" t="s">
        <v>199</v>
      </c>
      <c r="D37" s="42" t="s">
        <v>159</v>
      </c>
      <c r="E37" s="42" t="s">
        <v>160</v>
      </c>
      <c r="F37" s="42" t="s">
        <v>141</v>
      </c>
      <c r="G37" s="42">
        <v>8</v>
      </c>
      <c r="H37" s="42"/>
      <c r="I37" s="42"/>
      <c r="J37" s="42"/>
      <c r="K37" s="42"/>
      <c r="L37" s="42">
        <v>8</v>
      </c>
      <c r="M37" s="42">
        <v>8</v>
      </c>
      <c r="N37" s="42">
        <v>8</v>
      </c>
      <c r="O37" s="42"/>
    </row>
    <row r="38" spans="1:15" x14ac:dyDescent="0.35">
      <c r="A38" s="42">
        <v>907</v>
      </c>
      <c r="B38" s="42" t="s">
        <v>136</v>
      </c>
      <c r="C38" s="42" t="s">
        <v>137</v>
      </c>
      <c r="D38" s="42" t="s">
        <v>159</v>
      </c>
      <c r="E38" s="42" t="s">
        <v>140</v>
      </c>
      <c r="F38" s="42" t="s">
        <v>141</v>
      </c>
      <c r="G38" s="42">
        <v>7</v>
      </c>
      <c r="H38" s="42">
        <v>9</v>
      </c>
      <c r="I38" s="42"/>
      <c r="J38" s="42">
        <v>9</v>
      </c>
      <c r="K38" s="42">
        <v>6</v>
      </c>
      <c r="L38" s="42">
        <v>7</v>
      </c>
      <c r="M38" s="42">
        <v>8</v>
      </c>
      <c r="N38" s="42">
        <v>7</v>
      </c>
      <c r="O38" s="42"/>
    </row>
    <row r="39" spans="1:15" x14ac:dyDescent="0.35">
      <c r="A39" s="42">
        <v>909</v>
      </c>
      <c r="B39" s="42" t="s">
        <v>136</v>
      </c>
      <c r="C39" s="42" t="s">
        <v>199</v>
      </c>
      <c r="D39" s="42" t="s">
        <v>159</v>
      </c>
      <c r="E39" s="42" t="s">
        <v>140</v>
      </c>
      <c r="F39" s="42" t="s">
        <v>141</v>
      </c>
      <c r="G39" s="42">
        <v>8</v>
      </c>
      <c r="H39" s="42">
        <v>10</v>
      </c>
      <c r="I39" s="42"/>
      <c r="J39" s="42">
        <v>9</v>
      </c>
      <c r="K39" s="42">
        <v>7</v>
      </c>
      <c r="L39" s="42"/>
      <c r="M39" s="42">
        <v>10</v>
      </c>
      <c r="N39" s="42">
        <v>10</v>
      </c>
      <c r="O39" s="42"/>
    </row>
    <row r="40" spans="1:15" x14ac:dyDescent="0.35">
      <c r="A40" s="42">
        <v>1066</v>
      </c>
      <c r="B40" s="42" t="s">
        <v>136</v>
      </c>
      <c r="C40" s="42" t="s">
        <v>137</v>
      </c>
      <c r="D40" s="42" t="s">
        <v>159</v>
      </c>
      <c r="E40" s="42" t="s">
        <v>160</v>
      </c>
      <c r="F40" s="42" t="s">
        <v>141</v>
      </c>
      <c r="G40" s="42">
        <v>7</v>
      </c>
      <c r="H40" s="42">
        <v>9</v>
      </c>
      <c r="I40" s="42">
        <v>8</v>
      </c>
      <c r="J40" s="42">
        <v>8</v>
      </c>
      <c r="K40" s="42">
        <v>7</v>
      </c>
      <c r="L40" s="42">
        <v>6</v>
      </c>
      <c r="M40" s="42">
        <v>8</v>
      </c>
      <c r="N40" s="42">
        <v>8</v>
      </c>
      <c r="O40" s="42" t="s">
        <v>1753</v>
      </c>
    </row>
    <row r="41" spans="1:15" x14ac:dyDescent="0.35">
      <c r="A41" s="42">
        <v>930</v>
      </c>
      <c r="B41" s="42" t="s">
        <v>136</v>
      </c>
      <c r="C41" s="42" t="s">
        <v>199</v>
      </c>
      <c r="D41" s="42" t="s">
        <v>176</v>
      </c>
      <c r="E41" s="42" t="s">
        <v>206</v>
      </c>
      <c r="F41" s="42" t="s">
        <v>200</v>
      </c>
      <c r="G41" s="42">
        <v>7</v>
      </c>
      <c r="H41" s="42">
        <v>7</v>
      </c>
      <c r="I41" s="42">
        <v>8</v>
      </c>
      <c r="J41" s="42"/>
      <c r="K41" s="42"/>
      <c r="L41" s="42">
        <v>7</v>
      </c>
      <c r="M41" s="42">
        <v>8</v>
      </c>
      <c r="N41" s="42">
        <v>10</v>
      </c>
      <c r="O41" s="42"/>
    </row>
    <row r="42" spans="1:15" x14ac:dyDescent="0.35">
      <c r="A42" s="42">
        <v>931</v>
      </c>
      <c r="B42" s="42" t="s">
        <v>136</v>
      </c>
      <c r="C42" s="42" t="s">
        <v>137</v>
      </c>
      <c r="D42" s="42" t="s">
        <v>159</v>
      </c>
      <c r="E42" s="42" t="s">
        <v>140</v>
      </c>
      <c r="F42" s="42" t="s">
        <v>141</v>
      </c>
      <c r="G42" s="42">
        <v>8</v>
      </c>
      <c r="H42" s="42">
        <v>9</v>
      </c>
      <c r="I42" s="42">
        <v>9</v>
      </c>
      <c r="J42" s="42"/>
      <c r="K42" s="42">
        <v>8</v>
      </c>
      <c r="L42" s="42">
        <v>8</v>
      </c>
      <c r="M42" s="42">
        <v>9</v>
      </c>
      <c r="N42" s="42">
        <v>10</v>
      </c>
      <c r="O42" s="42" t="s">
        <v>1754</v>
      </c>
    </row>
    <row r="43" spans="1:15" x14ac:dyDescent="0.35">
      <c r="A43" s="42">
        <v>1084</v>
      </c>
      <c r="B43" s="42" t="s">
        <v>175</v>
      </c>
      <c r="C43" s="42" t="s">
        <v>137</v>
      </c>
      <c r="D43" s="42" t="s">
        <v>176</v>
      </c>
      <c r="E43" s="42" t="s">
        <v>160</v>
      </c>
      <c r="F43" s="42" t="s">
        <v>141</v>
      </c>
      <c r="G43" s="42">
        <v>8</v>
      </c>
      <c r="H43" s="42">
        <v>7</v>
      </c>
      <c r="I43" s="42"/>
      <c r="J43" s="42"/>
      <c r="K43" s="42">
        <v>7</v>
      </c>
      <c r="L43" s="42">
        <v>8</v>
      </c>
      <c r="M43" s="42">
        <v>8</v>
      </c>
      <c r="N43" s="42">
        <v>8</v>
      </c>
      <c r="O43" s="42"/>
    </row>
    <row r="44" spans="1:15" x14ac:dyDescent="0.35">
      <c r="A44" s="42">
        <v>933</v>
      </c>
      <c r="B44" s="42" t="s">
        <v>136</v>
      </c>
      <c r="C44" s="42" t="s">
        <v>199</v>
      </c>
      <c r="D44" s="42" t="s">
        <v>176</v>
      </c>
      <c r="E44" s="42" t="s">
        <v>140</v>
      </c>
      <c r="F44" s="42" t="s">
        <v>141</v>
      </c>
      <c r="G44" s="42">
        <v>9</v>
      </c>
      <c r="H44" s="42">
        <v>8</v>
      </c>
      <c r="I44" s="42">
        <v>9</v>
      </c>
      <c r="J44" s="42"/>
      <c r="K44" s="42">
        <v>7</v>
      </c>
      <c r="L44" s="42">
        <v>9</v>
      </c>
      <c r="M44" s="42">
        <v>9</v>
      </c>
      <c r="N44" s="42">
        <v>10</v>
      </c>
      <c r="O44" s="42"/>
    </row>
    <row r="45" spans="1:15" x14ac:dyDescent="0.35">
      <c r="A45" s="42">
        <v>1096</v>
      </c>
      <c r="B45" s="42" t="s">
        <v>136</v>
      </c>
      <c r="C45" s="42" t="s">
        <v>137</v>
      </c>
      <c r="D45" s="42" t="s">
        <v>159</v>
      </c>
      <c r="E45" s="42" t="s">
        <v>160</v>
      </c>
      <c r="F45" s="42" t="s">
        <v>141</v>
      </c>
      <c r="G45" s="42">
        <v>8</v>
      </c>
      <c r="H45" s="42">
        <v>9</v>
      </c>
      <c r="I45" s="42">
        <v>7</v>
      </c>
      <c r="J45" s="42"/>
      <c r="K45" s="42">
        <v>10</v>
      </c>
      <c r="L45" s="42">
        <v>7</v>
      </c>
      <c r="M45" s="42">
        <v>7</v>
      </c>
      <c r="N45" s="42">
        <v>8</v>
      </c>
      <c r="O45" s="42" t="s">
        <v>1753</v>
      </c>
    </row>
    <row r="46" spans="1:15" x14ac:dyDescent="0.35">
      <c r="A46" s="42">
        <v>1110</v>
      </c>
      <c r="B46" s="42" t="s">
        <v>175</v>
      </c>
      <c r="C46" s="42" t="s">
        <v>199</v>
      </c>
      <c r="D46" s="42" t="s">
        <v>159</v>
      </c>
      <c r="E46" s="42" t="s">
        <v>160</v>
      </c>
      <c r="F46" s="42" t="s">
        <v>141</v>
      </c>
      <c r="G46" s="42">
        <v>8</v>
      </c>
      <c r="H46" s="42"/>
      <c r="I46" s="42">
        <v>7</v>
      </c>
      <c r="J46" s="42"/>
      <c r="K46" s="42"/>
      <c r="L46" s="42">
        <v>8</v>
      </c>
      <c r="M46" s="42">
        <v>8</v>
      </c>
      <c r="N46" s="42">
        <v>8</v>
      </c>
      <c r="O46" s="42"/>
    </row>
    <row r="47" spans="1:15" x14ac:dyDescent="0.35">
      <c r="A47" s="42">
        <v>938</v>
      </c>
      <c r="B47" s="42" t="s">
        <v>136</v>
      </c>
      <c r="C47" s="42" t="s">
        <v>137</v>
      </c>
      <c r="D47" s="42" t="s">
        <v>159</v>
      </c>
      <c r="E47" s="42" t="s">
        <v>140</v>
      </c>
      <c r="F47" s="42" t="s">
        <v>141</v>
      </c>
      <c r="G47" s="42">
        <v>5</v>
      </c>
      <c r="H47" s="42"/>
      <c r="I47" s="42">
        <v>8</v>
      </c>
      <c r="J47" s="42">
        <v>3</v>
      </c>
      <c r="K47" s="42">
        <v>7</v>
      </c>
      <c r="L47" s="42">
        <v>8</v>
      </c>
      <c r="M47" s="42">
        <v>9</v>
      </c>
      <c r="N47" s="42">
        <v>9</v>
      </c>
      <c r="O47" s="42"/>
    </row>
    <row r="48" spans="1:15" x14ac:dyDescent="0.35">
      <c r="A48" s="42">
        <v>939</v>
      </c>
      <c r="B48" s="42" t="s">
        <v>136</v>
      </c>
      <c r="C48" s="42" t="s">
        <v>199</v>
      </c>
      <c r="D48" s="42" t="s">
        <v>159</v>
      </c>
      <c r="E48" s="42" t="s">
        <v>206</v>
      </c>
      <c r="F48" s="42" t="s">
        <v>141</v>
      </c>
      <c r="G48" s="42">
        <v>7</v>
      </c>
      <c r="H48" s="42">
        <v>9</v>
      </c>
      <c r="I48" s="42">
        <v>9</v>
      </c>
      <c r="J48" s="42">
        <v>4</v>
      </c>
      <c r="K48" s="42">
        <v>8</v>
      </c>
      <c r="L48" s="42"/>
      <c r="M48" s="42">
        <v>8</v>
      </c>
      <c r="N48" s="42">
        <v>9</v>
      </c>
      <c r="O48" s="42" t="s">
        <v>1754</v>
      </c>
    </row>
    <row r="49" spans="1:15" x14ac:dyDescent="0.35">
      <c r="A49" s="42">
        <v>944</v>
      </c>
      <c r="B49" s="42" t="s">
        <v>136</v>
      </c>
      <c r="C49" s="42" t="s">
        <v>199</v>
      </c>
      <c r="D49" s="42" t="s">
        <v>159</v>
      </c>
      <c r="E49" s="42" t="s">
        <v>140</v>
      </c>
      <c r="F49" s="42" t="s">
        <v>141</v>
      </c>
      <c r="G49" s="42">
        <v>9</v>
      </c>
      <c r="H49" s="42">
        <v>9</v>
      </c>
      <c r="I49" s="42">
        <v>7</v>
      </c>
      <c r="J49" s="42">
        <v>7</v>
      </c>
      <c r="K49" s="42">
        <v>7</v>
      </c>
      <c r="L49" s="42">
        <v>8</v>
      </c>
      <c r="M49" s="42">
        <v>8</v>
      </c>
      <c r="N49" s="42">
        <v>9</v>
      </c>
      <c r="O49" s="42"/>
    </row>
    <row r="50" spans="1:15" x14ac:dyDescent="0.35">
      <c r="A50" s="42">
        <v>1118</v>
      </c>
      <c r="B50" s="42" t="s">
        <v>136</v>
      </c>
      <c r="C50" s="42" t="s">
        <v>137</v>
      </c>
      <c r="D50" s="42" t="s">
        <v>159</v>
      </c>
      <c r="E50" s="42" t="s">
        <v>160</v>
      </c>
      <c r="F50" s="42" t="s">
        <v>141</v>
      </c>
      <c r="G50" s="42">
        <v>7</v>
      </c>
      <c r="H50" s="42">
        <v>10</v>
      </c>
      <c r="I50" s="42">
        <v>10</v>
      </c>
      <c r="J50" s="42">
        <v>8</v>
      </c>
      <c r="K50" s="42">
        <v>8</v>
      </c>
      <c r="L50" s="42">
        <v>7</v>
      </c>
      <c r="M50" s="42">
        <v>5</v>
      </c>
      <c r="N50" s="42">
        <v>8</v>
      </c>
      <c r="O50" s="42"/>
    </row>
    <row r="51" spans="1:15" x14ac:dyDescent="0.35">
      <c r="A51" s="42">
        <v>1143</v>
      </c>
      <c r="B51" s="42" t="s">
        <v>136</v>
      </c>
      <c r="C51" s="42" t="s">
        <v>137</v>
      </c>
      <c r="D51" s="42" t="s">
        <v>159</v>
      </c>
      <c r="E51" s="42" t="s">
        <v>160</v>
      </c>
      <c r="F51" s="42" t="s">
        <v>141</v>
      </c>
      <c r="G51" s="42">
        <v>6</v>
      </c>
      <c r="H51" s="42"/>
      <c r="I51" s="42"/>
      <c r="J51" s="42"/>
      <c r="K51" s="42">
        <v>8</v>
      </c>
      <c r="L51" s="42">
        <v>8</v>
      </c>
      <c r="M51" s="42">
        <v>9</v>
      </c>
      <c r="N51" s="42">
        <v>8</v>
      </c>
      <c r="O51" s="42"/>
    </row>
    <row r="52" spans="1:15" x14ac:dyDescent="0.35">
      <c r="A52" s="42">
        <v>950</v>
      </c>
      <c r="B52" s="42" t="s">
        <v>136</v>
      </c>
      <c r="C52" s="42" t="s">
        <v>137</v>
      </c>
      <c r="D52" s="42" t="s">
        <v>176</v>
      </c>
      <c r="E52" s="42" t="s">
        <v>140</v>
      </c>
      <c r="F52" s="42" t="s">
        <v>141</v>
      </c>
      <c r="G52" s="42">
        <v>7</v>
      </c>
      <c r="H52" s="42">
        <v>10</v>
      </c>
      <c r="I52" s="42">
        <v>7</v>
      </c>
      <c r="J52" s="42">
        <v>7</v>
      </c>
      <c r="K52" s="42">
        <v>9</v>
      </c>
      <c r="L52" s="42">
        <v>6</v>
      </c>
      <c r="M52" s="42">
        <v>9</v>
      </c>
      <c r="N52" s="42">
        <v>10</v>
      </c>
      <c r="O52" s="42" t="s">
        <v>1754</v>
      </c>
    </row>
    <row r="53" spans="1:15" x14ac:dyDescent="0.35">
      <c r="A53" s="42">
        <v>951</v>
      </c>
      <c r="B53" s="42" t="s">
        <v>136</v>
      </c>
      <c r="C53" s="42" t="s">
        <v>199</v>
      </c>
      <c r="D53" s="42" t="s">
        <v>159</v>
      </c>
      <c r="E53" s="42" t="s">
        <v>140</v>
      </c>
      <c r="F53" s="42" t="s">
        <v>141</v>
      </c>
      <c r="G53" s="42">
        <v>6</v>
      </c>
      <c r="H53" s="42"/>
      <c r="I53" s="42"/>
      <c r="J53" s="42">
        <v>4</v>
      </c>
      <c r="K53" s="42">
        <v>7</v>
      </c>
      <c r="L53" s="42">
        <v>4</v>
      </c>
      <c r="M53" s="42">
        <v>6</v>
      </c>
      <c r="N53" s="42">
        <v>7</v>
      </c>
      <c r="O53" s="42"/>
    </row>
    <row r="54" spans="1:15" x14ac:dyDescent="0.35">
      <c r="A54" s="42">
        <v>952</v>
      </c>
      <c r="B54" s="42" t="s">
        <v>136</v>
      </c>
      <c r="C54" s="42" t="s">
        <v>137</v>
      </c>
      <c r="D54" s="42" t="s">
        <v>219</v>
      </c>
      <c r="E54" s="42" t="s">
        <v>140</v>
      </c>
      <c r="F54" s="42" t="s">
        <v>141</v>
      </c>
      <c r="G54" s="42">
        <v>3</v>
      </c>
      <c r="H54" s="42"/>
      <c r="I54" s="42">
        <v>6</v>
      </c>
      <c r="J54" s="42"/>
      <c r="K54" s="42">
        <v>8</v>
      </c>
      <c r="L54" s="42">
        <v>6</v>
      </c>
      <c r="M54" s="42"/>
      <c r="N54" s="42">
        <v>5</v>
      </c>
      <c r="O54" s="42" t="s">
        <v>1755</v>
      </c>
    </row>
    <row r="55" spans="1:15" x14ac:dyDescent="0.35">
      <c r="A55" s="42">
        <v>958</v>
      </c>
      <c r="B55" s="42" t="s">
        <v>136</v>
      </c>
      <c r="C55" s="42" t="s">
        <v>137</v>
      </c>
      <c r="D55" s="42" t="s">
        <v>159</v>
      </c>
      <c r="E55" s="42" t="s">
        <v>206</v>
      </c>
      <c r="F55" s="42" t="s">
        <v>141</v>
      </c>
      <c r="G55" s="42">
        <v>4</v>
      </c>
      <c r="H55" s="42">
        <v>8</v>
      </c>
      <c r="I55" s="42">
        <v>8</v>
      </c>
      <c r="J55" s="42">
        <v>7</v>
      </c>
      <c r="K55" s="42">
        <v>4</v>
      </c>
      <c r="L55" s="42">
        <v>7</v>
      </c>
      <c r="M55" s="42">
        <v>7</v>
      </c>
      <c r="N55" s="42">
        <v>7</v>
      </c>
      <c r="O55" s="42" t="s">
        <v>1753</v>
      </c>
    </row>
    <row r="56" spans="1:15" x14ac:dyDescent="0.35">
      <c r="A56" s="42">
        <v>964</v>
      </c>
      <c r="B56" s="42" t="s">
        <v>136</v>
      </c>
      <c r="C56" s="42" t="s">
        <v>137</v>
      </c>
      <c r="D56" s="42" t="s">
        <v>159</v>
      </c>
      <c r="E56" s="42" t="s">
        <v>140</v>
      </c>
      <c r="F56" s="42" t="s">
        <v>141</v>
      </c>
      <c r="G56" s="42">
        <v>8</v>
      </c>
      <c r="H56" s="42">
        <v>9</v>
      </c>
      <c r="I56" s="42">
        <v>9</v>
      </c>
      <c r="J56" s="42">
        <v>7</v>
      </c>
      <c r="K56" s="42">
        <v>8</v>
      </c>
      <c r="L56" s="42">
        <v>8</v>
      </c>
      <c r="M56" s="42">
        <v>8</v>
      </c>
      <c r="N56" s="42">
        <v>9</v>
      </c>
      <c r="O56" s="42"/>
    </row>
    <row r="57" spans="1:15" x14ac:dyDescent="0.35">
      <c r="A57" s="42">
        <v>965</v>
      </c>
      <c r="B57" s="42" t="s">
        <v>136</v>
      </c>
      <c r="C57" s="42" t="s">
        <v>137</v>
      </c>
      <c r="D57" s="42" t="s">
        <v>138</v>
      </c>
      <c r="E57" s="42" t="s">
        <v>140</v>
      </c>
      <c r="F57" s="42" t="s">
        <v>141</v>
      </c>
      <c r="G57" s="42">
        <v>7</v>
      </c>
      <c r="H57" s="42">
        <v>9</v>
      </c>
      <c r="I57" s="42">
        <v>6</v>
      </c>
      <c r="J57" s="42">
        <v>6</v>
      </c>
      <c r="K57" s="42">
        <v>8</v>
      </c>
      <c r="L57" s="42">
        <v>7</v>
      </c>
      <c r="M57" s="42">
        <v>8</v>
      </c>
      <c r="N57" s="42">
        <v>6</v>
      </c>
      <c r="O57" s="42"/>
    </row>
    <row r="58" spans="1:15" x14ac:dyDescent="0.35">
      <c r="A58" s="42">
        <v>972</v>
      </c>
      <c r="B58" s="42" t="s">
        <v>136</v>
      </c>
      <c r="C58" s="42" t="s">
        <v>199</v>
      </c>
      <c r="D58" s="42" t="s">
        <v>159</v>
      </c>
      <c r="E58" s="42" t="s">
        <v>206</v>
      </c>
      <c r="F58" s="42" t="s">
        <v>141</v>
      </c>
      <c r="G58" s="42">
        <v>2</v>
      </c>
      <c r="H58" s="42">
        <v>8</v>
      </c>
      <c r="I58" s="42">
        <v>9</v>
      </c>
      <c r="J58" s="42">
        <v>4</v>
      </c>
      <c r="K58" s="42">
        <v>7</v>
      </c>
      <c r="L58" s="42">
        <v>6</v>
      </c>
      <c r="M58" s="42">
        <v>6</v>
      </c>
      <c r="N58" s="42">
        <v>3</v>
      </c>
      <c r="O58" s="42"/>
    </row>
    <row r="59" spans="1:15" x14ac:dyDescent="0.35">
      <c r="A59" s="42">
        <v>1146</v>
      </c>
      <c r="B59" s="42" t="s">
        <v>175</v>
      </c>
      <c r="C59" s="42" t="s">
        <v>137</v>
      </c>
      <c r="D59" s="42" t="s">
        <v>176</v>
      </c>
      <c r="E59" s="42" t="s">
        <v>160</v>
      </c>
      <c r="F59" s="42" t="s">
        <v>141</v>
      </c>
      <c r="G59" s="42">
        <v>8</v>
      </c>
      <c r="H59" s="42">
        <v>8</v>
      </c>
      <c r="I59" s="42"/>
      <c r="J59" s="42">
        <v>5</v>
      </c>
      <c r="K59" s="42">
        <v>6</v>
      </c>
      <c r="L59" s="42"/>
      <c r="M59" s="42">
        <v>8</v>
      </c>
      <c r="N59" s="42">
        <v>8</v>
      </c>
      <c r="O59" s="42"/>
    </row>
    <row r="60" spans="1:15" x14ac:dyDescent="0.35">
      <c r="A60" s="42">
        <v>1151</v>
      </c>
      <c r="B60" s="42" t="s">
        <v>136</v>
      </c>
      <c r="C60" s="42" t="s">
        <v>137</v>
      </c>
      <c r="D60" s="42" t="s">
        <v>138</v>
      </c>
      <c r="E60" s="42" t="s">
        <v>160</v>
      </c>
      <c r="F60" s="42" t="s">
        <v>141</v>
      </c>
      <c r="G60" s="42">
        <v>7</v>
      </c>
      <c r="H60" s="42"/>
      <c r="I60" s="42">
        <v>8</v>
      </c>
      <c r="J60" s="42">
        <v>7</v>
      </c>
      <c r="K60" s="42">
        <v>5</v>
      </c>
      <c r="L60" s="42">
        <v>8</v>
      </c>
      <c r="M60" s="42">
        <v>6</v>
      </c>
      <c r="N60" s="42">
        <v>8</v>
      </c>
      <c r="O60" s="42" t="s">
        <v>1754</v>
      </c>
    </row>
    <row r="61" spans="1:15" x14ac:dyDescent="0.35">
      <c r="A61" s="42">
        <v>978</v>
      </c>
      <c r="B61" s="42" t="s">
        <v>175</v>
      </c>
      <c r="C61" s="42" t="s">
        <v>199</v>
      </c>
      <c r="D61" s="42" t="s">
        <v>159</v>
      </c>
      <c r="E61" s="42" t="s">
        <v>140</v>
      </c>
      <c r="F61" s="42" t="s">
        <v>141</v>
      </c>
      <c r="G61" s="42">
        <v>6</v>
      </c>
      <c r="H61" s="42">
        <v>10</v>
      </c>
      <c r="I61" s="42"/>
      <c r="J61" s="42"/>
      <c r="K61" s="42">
        <v>5</v>
      </c>
      <c r="L61" s="42">
        <v>6</v>
      </c>
      <c r="M61" s="42">
        <v>10</v>
      </c>
      <c r="N61" s="42">
        <v>8</v>
      </c>
      <c r="O61" s="42"/>
    </row>
    <row r="62" spans="1:15" x14ac:dyDescent="0.35">
      <c r="A62" s="42">
        <v>984</v>
      </c>
      <c r="B62" s="42" t="s">
        <v>136</v>
      </c>
      <c r="C62" s="42" t="s">
        <v>199</v>
      </c>
      <c r="D62" s="42" t="s">
        <v>159</v>
      </c>
      <c r="E62" s="42" t="s">
        <v>206</v>
      </c>
      <c r="F62" s="42" t="s">
        <v>141</v>
      </c>
      <c r="G62" s="42">
        <v>8</v>
      </c>
      <c r="H62" s="42">
        <v>10</v>
      </c>
      <c r="I62" s="42">
        <v>8</v>
      </c>
      <c r="J62" s="42"/>
      <c r="K62" s="42">
        <v>10</v>
      </c>
      <c r="L62" s="42">
        <v>10</v>
      </c>
      <c r="M62" s="42">
        <v>9</v>
      </c>
      <c r="N62" s="42">
        <v>10</v>
      </c>
      <c r="O62" s="42" t="s">
        <v>1753</v>
      </c>
    </row>
    <row r="63" spans="1:15" x14ac:dyDescent="0.35">
      <c r="A63" s="42">
        <v>986</v>
      </c>
      <c r="B63" s="42" t="s">
        <v>136</v>
      </c>
      <c r="C63" s="42" t="s">
        <v>199</v>
      </c>
      <c r="D63" s="42" t="s">
        <v>159</v>
      </c>
      <c r="E63" s="42" t="s">
        <v>206</v>
      </c>
      <c r="F63" s="42" t="s">
        <v>141</v>
      </c>
      <c r="G63" s="42">
        <v>8</v>
      </c>
      <c r="H63" s="42"/>
      <c r="I63" s="42">
        <v>7</v>
      </c>
      <c r="J63" s="42"/>
      <c r="K63" s="42">
        <v>7</v>
      </c>
      <c r="L63" s="42">
        <v>8</v>
      </c>
      <c r="M63" s="42">
        <v>6</v>
      </c>
      <c r="N63" s="42">
        <v>8</v>
      </c>
      <c r="O63" s="42" t="s">
        <v>1754</v>
      </c>
    </row>
    <row r="64" spans="1:15" x14ac:dyDescent="0.35">
      <c r="A64" s="42">
        <v>987</v>
      </c>
      <c r="B64" s="42" t="s">
        <v>136</v>
      </c>
      <c r="C64" s="42" t="s">
        <v>137</v>
      </c>
      <c r="D64" s="42" t="s">
        <v>159</v>
      </c>
      <c r="E64" s="42" t="s">
        <v>140</v>
      </c>
      <c r="F64" s="42" t="s">
        <v>141</v>
      </c>
      <c r="G64" s="42">
        <v>9</v>
      </c>
      <c r="H64" s="42">
        <v>10</v>
      </c>
      <c r="I64" s="42">
        <v>9</v>
      </c>
      <c r="J64" s="42"/>
      <c r="K64" s="42">
        <v>10</v>
      </c>
      <c r="L64" s="42">
        <v>9</v>
      </c>
      <c r="M64" s="42">
        <v>9</v>
      </c>
      <c r="N64" s="42">
        <v>10</v>
      </c>
      <c r="O64" s="42"/>
    </row>
    <row r="65" spans="1:15" x14ac:dyDescent="0.35">
      <c r="A65" s="42">
        <v>998</v>
      </c>
      <c r="B65" s="42" t="s">
        <v>731</v>
      </c>
      <c r="C65" s="42" t="s">
        <v>199</v>
      </c>
      <c r="D65" s="42" t="s">
        <v>159</v>
      </c>
      <c r="E65" s="42" t="s">
        <v>140</v>
      </c>
      <c r="F65" s="42" t="s">
        <v>141</v>
      </c>
      <c r="G65" s="42">
        <v>8</v>
      </c>
      <c r="H65" s="42">
        <v>8</v>
      </c>
      <c r="I65" s="42"/>
      <c r="J65" s="42"/>
      <c r="K65" s="42"/>
      <c r="L65" s="42"/>
      <c r="M65" s="42"/>
      <c r="N65" s="42">
        <v>9</v>
      </c>
      <c r="O65" s="42"/>
    </row>
    <row r="66" spans="1:15" x14ac:dyDescent="0.35">
      <c r="A66" s="42">
        <v>1208</v>
      </c>
      <c r="B66" s="42" t="s">
        <v>136</v>
      </c>
      <c r="C66" s="42" t="s">
        <v>199</v>
      </c>
      <c r="D66" s="42" t="s">
        <v>176</v>
      </c>
      <c r="E66" s="42" t="s">
        <v>160</v>
      </c>
      <c r="F66" s="42" t="s">
        <v>200</v>
      </c>
      <c r="G66" s="42">
        <v>7</v>
      </c>
      <c r="H66" s="42"/>
      <c r="I66" s="42">
        <v>9</v>
      </c>
      <c r="J66" s="42">
        <v>7</v>
      </c>
      <c r="K66" s="42">
        <v>8</v>
      </c>
      <c r="L66" s="42"/>
      <c r="M66" s="42">
        <v>7</v>
      </c>
      <c r="N66" s="42">
        <v>8</v>
      </c>
      <c r="O66" s="42" t="s">
        <v>1754</v>
      </c>
    </row>
    <row r="67" spans="1:15" x14ac:dyDescent="0.35">
      <c r="A67" s="42">
        <v>1004</v>
      </c>
      <c r="B67" s="42" t="s">
        <v>136</v>
      </c>
      <c r="C67" s="42" t="s">
        <v>137</v>
      </c>
      <c r="D67" s="42" t="s">
        <v>176</v>
      </c>
      <c r="E67" s="42" t="s">
        <v>140</v>
      </c>
      <c r="F67" s="42" t="s">
        <v>141</v>
      </c>
      <c r="G67" s="42">
        <v>7</v>
      </c>
      <c r="H67" s="42">
        <v>10</v>
      </c>
      <c r="I67" s="42">
        <v>8</v>
      </c>
      <c r="J67" s="42"/>
      <c r="K67" s="42"/>
      <c r="L67" s="42"/>
      <c r="M67" s="42">
        <v>10</v>
      </c>
      <c r="N67" s="42">
        <v>5</v>
      </c>
      <c r="O67" s="42" t="s">
        <v>1752</v>
      </c>
    </row>
    <row r="68" spans="1:15" x14ac:dyDescent="0.35">
      <c r="A68" s="42">
        <v>1214</v>
      </c>
      <c r="B68" s="42" t="s">
        <v>136</v>
      </c>
      <c r="C68" s="42" t="s">
        <v>137</v>
      </c>
      <c r="D68" s="42" t="s">
        <v>159</v>
      </c>
      <c r="E68" s="42" t="s">
        <v>160</v>
      </c>
      <c r="F68" s="42" t="s">
        <v>141</v>
      </c>
      <c r="G68" s="42">
        <v>3</v>
      </c>
      <c r="H68" s="42"/>
      <c r="I68" s="42">
        <v>8</v>
      </c>
      <c r="J68" s="42"/>
      <c r="K68" s="42"/>
      <c r="L68" s="42">
        <v>2</v>
      </c>
      <c r="M68" s="42">
        <v>9</v>
      </c>
      <c r="N68" s="42">
        <v>8</v>
      </c>
      <c r="O68" s="42" t="s">
        <v>1754</v>
      </c>
    </row>
    <row r="69" spans="1:15" x14ac:dyDescent="0.35">
      <c r="A69" s="42">
        <v>1008</v>
      </c>
      <c r="B69" s="42" t="s">
        <v>136</v>
      </c>
      <c r="C69" s="42" t="s">
        <v>199</v>
      </c>
      <c r="D69" s="42" t="s">
        <v>176</v>
      </c>
      <c r="E69" s="42" t="s">
        <v>140</v>
      </c>
      <c r="F69" s="42" t="s">
        <v>141</v>
      </c>
      <c r="G69" s="42">
        <v>7</v>
      </c>
      <c r="H69" s="42"/>
      <c r="I69" s="42"/>
      <c r="J69" s="42"/>
      <c r="K69" s="42">
        <v>7</v>
      </c>
      <c r="L69" s="42"/>
      <c r="M69" s="42">
        <v>8</v>
      </c>
      <c r="N69" s="42">
        <v>9</v>
      </c>
      <c r="O69" s="42"/>
    </row>
    <row r="70" spans="1:15" x14ac:dyDescent="0.35">
      <c r="A70" s="42">
        <v>1009</v>
      </c>
      <c r="B70" s="42" t="s">
        <v>136</v>
      </c>
      <c r="C70" s="42" t="s">
        <v>137</v>
      </c>
      <c r="D70" s="42" t="s">
        <v>219</v>
      </c>
      <c r="E70" s="42" t="s">
        <v>206</v>
      </c>
      <c r="F70" s="42" t="s">
        <v>141</v>
      </c>
      <c r="G70" s="42">
        <v>9</v>
      </c>
      <c r="H70" s="42">
        <v>10</v>
      </c>
      <c r="I70" s="42">
        <v>8</v>
      </c>
      <c r="J70" s="42">
        <v>3</v>
      </c>
      <c r="K70" s="42">
        <v>8</v>
      </c>
      <c r="L70" s="42">
        <v>8</v>
      </c>
      <c r="M70" s="42">
        <v>8</v>
      </c>
      <c r="N70" s="42">
        <v>9</v>
      </c>
      <c r="O70" s="42"/>
    </row>
    <row r="71" spans="1:15" x14ac:dyDescent="0.35">
      <c r="A71" s="42">
        <v>1319</v>
      </c>
      <c r="B71" s="42" t="s">
        <v>175</v>
      </c>
      <c r="C71" s="42" t="s">
        <v>199</v>
      </c>
      <c r="D71" s="42" t="s">
        <v>176</v>
      </c>
      <c r="E71" s="42" t="s">
        <v>160</v>
      </c>
      <c r="F71" s="42" t="s">
        <v>141</v>
      </c>
      <c r="G71" s="42">
        <v>8</v>
      </c>
      <c r="H71" s="42"/>
      <c r="I71" s="42">
        <v>8</v>
      </c>
      <c r="J71" s="42"/>
      <c r="K71" s="42">
        <v>9</v>
      </c>
      <c r="L71" s="42"/>
      <c r="M71" s="42">
        <v>8</v>
      </c>
      <c r="N71" s="42">
        <v>8</v>
      </c>
      <c r="O71" s="42"/>
    </row>
    <row r="72" spans="1:15" x14ac:dyDescent="0.35">
      <c r="A72" s="42">
        <v>1336</v>
      </c>
      <c r="B72" s="42" t="s">
        <v>175</v>
      </c>
      <c r="C72" s="42" t="s">
        <v>199</v>
      </c>
      <c r="D72" s="42" t="s">
        <v>176</v>
      </c>
      <c r="E72" s="42" t="s">
        <v>160</v>
      </c>
      <c r="F72" s="42" t="s">
        <v>141</v>
      </c>
      <c r="G72" s="42">
        <v>7</v>
      </c>
      <c r="H72" s="42">
        <v>9</v>
      </c>
      <c r="I72" s="42">
        <v>7</v>
      </c>
      <c r="J72" s="42">
        <v>6</v>
      </c>
      <c r="K72" s="42">
        <v>7</v>
      </c>
      <c r="L72" s="42">
        <v>7</v>
      </c>
      <c r="M72" s="42">
        <v>7</v>
      </c>
      <c r="N72" s="42">
        <v>8</v>
      </c>
      <c r="O72" s="42"/>
    </row>
    <row r="73" spans="1:15" x14ac:dyDescent="0.35">
      <c r="A73" s="42">
        <v>810</v>
      </c>
      <c r="B73" s="42" t="s">
        <v>175</v>
      </c>
      <c r="C73" s="42" t="s">
        <v>137</v>
      </c>
      <c r="D73" s="42" t="s">
        <v>159</v>
      </c>
      <c r="E73" s="42" t="s">
        <v>160</v>
      </c>
      <c r="F73" s="42" t="s">
        <v>141</v>
      </c>
      <c r="G73" s="42">
        <v>5</v>
      </c>
      <c r="H73" s="42"/>
      <c r="I73" s="42"/>
      <c r="J73" s="42">
        <v>8</v>
      </c>
      <c r="K73" s="42"/>
      <c r="L73" s="42">
        <v>7</v>
      </c>
      <c r="M73" s="42">
        <v>9</v>
      </c>
      <c r="N73" s="42">
        <v>7</v>
      </c>
      <c r="O73" s="42"/>
    </row>
    <row r="74" spans="1:15" x14ac:dyDescent="0.35">
      <c r="A74" s="42">
        <v>851</v>
      </c>
      <c r="B74" s="42" t="s">
        <v>175</v>
      </c>
      <c r="C74" s="42" t="s">
        <v>199</v>
      </c>
      <c r="D74" s="42" t="s">
        <v>176</v>
      </c>
      <c r="E74" s="42" t="s">
        <v>160</v>
      </c>
      <c r="F74" s="42" t="s">
        <v>141</v>
      </c>
      <c r="G74" s="42">
        <v>6</v>
      </c>
      <c r="H74" s="42"/>
      <c r="I74" s="42"/>
      <c r="J74" s="42"/>
      <c r="K74" s="42"/>
      <c r="L74" s="42"/>
      <c r="M74" s="42"/>
      <c r="N74" s="42">
        <v>7</v>
      </c>
      <c r="O74" s="42"/>
    </row>
    <row r="75" spans="1:15" x14ac:dyDescent="0.35">
      <c r="A75" s="42">
        <v>858</v>
      </c>
      <c r="B75" s="42" t="s">
        <v>136</v>
      </c>
      <c r="C75" s="42" t="s">
        <v>137</v>
      </c>
      <c r="D75" s="42" t="s">
        <v>176</v>
      </c>
      <c r="E75" s="42" t="s">
        <v>160</v>
      </c>
      <c r="F75" s="42" t="s">
        <v>200</v>
      </c>
      <c r="G75" s="42">
        <v>7</v>
      </c>
      <c r="H75" s="42"/>
      <c r="I75" s="42">
        <v>7</v>
      </c>
      <c r="J75" s="42">
        <v>8</v>
      </c>
      <c r="K75" s="42">
        <v>7</v>
      </c>
      <c r="L75" s="42">
        <v>6</v>
      </c>
      <c r="M75" s="42">
        <v>8</v>
      </c>
      <c r="N75" s="42">
        <v>7</v>
      </c>
      <c r="O75" s="42" t="s">
        <v>1754</v>
      </c>
    </row>
    <row r="76" spans="1:15" x14ac:dyDescent="0.35">
      <c r="A76" s="42">
        <v>1028</v>
      </c>
      <c r="B76" s="42" t="s">
        <v>136</v>
      </c>
      <c r="C76" s="42" t="s">
        <v>137</v>
      </c>
      <c r="D76" s="42" t="s">
        <v>159</v>
      </c>
      <c r="E76" s="42" t="s">
        <v>206</v>
      </c>
      <c r="F76" s="42" t="s">
        <v>141</v>
      </c>
      <c r="G76" s="42">
        <v>7</v>
      </c>
      <c r="H76" s="42"/>
      <c r="I76" s="42">
        <v>7</v>
      </c>
      <c r="J76" s="42">
        <v>10</v>
      </c>
      <c r="K76" s="42">
        <v>7</v>
      </c>
      <c r="L76" s="42">
        <v>7</v>
      </c>
      <c r="M76" s="42">
        <v>8</v>
      </c>
      <c r="N76" s="42">
        <v>9</v>
      </c>
      <c r="O76" s="42"/>
    </row>
    <row r="77" spans="1:15" x14ac:dyDescent="0.35">
      <c r="A77" s="42">
        <v>885</v>
      </c>
      <c r="B77" s="42" t="s">
        <v>175</v>
      </c>
      <c r="C77" s="42" t="s">
        <v>137</v>
      </c>
      <c r="D77" s="42" t="s">
        <v>176</v>
      </c>
      <c r="E77" s="42" t="s">
        <v>160</v>
      </c>
      <c r="F77" s="42" t="s">
        <v>141</v>
      </c>
      <c r="G77" s="42">
        <v>7</v>
      </c>
      <c r="H77" s="42"/>
      <c r="I77" s="42">
        <v>6</v>
      </c>
      <c r="J77" s="42">
        <v>7</v>
      </c>
      <c r="K77" s="42"/>
      <c r="L77" s="42">
        <v>7</v>
      </c>
      <c r="M77" s="42">
        <v>5</v>
      </c>
      <c r="N77" s="42">
        <v>7</v>
      </c>
      <c r="O77" s="42"/>
    </row>
    <row r="78" spans="1:15" x14ac:dyDescent="0.35">
      <c r="A78" s="42">
        <v>1032</v>
      </c>
      <c r="B78" s="42" t="s">
        <v>136</v>
      </c>
      <c r="C78" s="42" t="s">
        <v>137</v>
      </c>
      <c r="D78" s="42" t="s">
        <v>219</v>
      </c>
      <c r="E78" s="42" t="s">
        <v>140</v>
      </c>
      <c r="F78" s="42" t="s">
        <v>141</v>
      </c>
      <c r="G78" s="42">
        <v>8</v>
      </c>
      <c r="H78" s="42">
        <v>10</v>
      </c>
      <c r="I78" s="42">
        <v>8</v>
      </c>
      <c r="J78" s="42"/>
      <c r="K78" s="42">
        <v>8</v>
      </c>
      <c r="L78" s="42">
        <v>8</v>
      </c>
      <c r="M78" s="42">
        <v>10</v>
      </c>
      <c r="N78" s="42">
        <v>10</v>
      </c>
      <c r="O78" s="42"/>
    </row>
    <row r="79" spans="1:15" x14ac:dyDescent="0.35">
      <c r="A79" s="42">
        <v>1033</v>
      </c>
      <c r="B79" s="42" t="s">
        <v>136</v>
      </c>
      <c r="C79" s="42" t="s">
        <v>199</v>
      </c>
      <c r="D79" s="42" t="s">
        <v>138</v>
      </c>
      <c r="E79" s="42" t="s">
        <v>140</v>
      </c>
      <c r="F79" s="42" t="s">
        <v>141</v>
      </c>
      <c r="G79" s="42">
        <v>1</v>
      </c>
      <c r="H79" s="42"/>
      <c r="I79" s="42"/>
      <c r="J79" s="42"/>
      <c r="K79" s="42"/>
      <c r="L79" s="42"/>
      <c r="M79" s="42">
        <v>5</v>
      </c>
      <c r="N79" s="42">
        <v>1</v>
      </c>
      <c r="O79" s="42"/>
    </row>
    <row r="80" spans="1:15" x14ac:dyDescent="0.35">
      <c r="A80" s="42">
        <v>1036</v>
      </c>
      <c r="B80" s="42" t="s">
        <v>136</v>
      </c>
      <c r="C80" s="42" t="s">
        <v>137</v>
      </c>
      <c r="D80" s="42" t="s">
        <v>138</v>
      </c>
      <c r="E80" s="42" t="s">
        <v>140</v>
      </c>
      <c r="F80" s="42" t="s">
        <v>141</v>
      </c>
      <c r="G80" s="42">
        <v>5</v>
      </c>
      <c r="H80" s="42"/>
      <c r="I80" s="42">
        <v>7</v>
      </c>
      <c r="J80" s="42">
        <v>7</v>
      </c>
      <c r="K80" s="42">
        <v>8</v>
      </c>
      <c r="L80" s="42">
        <v>7</v>
      </c>
      <c r="M80" s="42">
        <v>9</v>
      </c>
      <c r="N80" s="42">
        <v>4</v>
      </c>
      <c r="O80" s="42" t="s">
        <v>1754</v>
      </c>
    </row>
    <row r="81" spans="1:15" x14ac:dyDescent="0.35">
      <c r="A81" s="42">
        <v>1037</v>
      </c>
      <c r="B81" s="42" t="s">
        <v>136</v>
      </c>
      <c r="C81" s="42" t="s">
        <v>137</v>
      </c>
      <c r="D81" s="42" t="s">
        <v>159</v>
      </c>
      <c r="E81" s="42" t="s">
        <v>140</v>
      </c>
      <c r="F81" s="42" t="s">
        <v>141</v>
      </c>
      <c r="G81" s="42">
        <v>2</v>
      </c>
      <c r="H81" s="42">
        <v>7</v>
      </c>
      <c r="I81" s="42">
        <v>3</v>
      </c>
      <c r="J81" s="42"/>
      <c r="K81" s="42">
        <v>7</v>
      </c>
      <c r="L81" s="42">
        <v>5</v>
      </c>
      <c r="M81" s="42">
        <v>8</v>
      </c>
      <c r="N81" s="42">
        <v>1</v>
      </c>
      <c r="O81" s="42" t="s">
        <v>1752</v>
      </c>
    </row>
    <row r="82" spans="1:15" x14ac:dyDescent="0.35">
      <c r="A82" s="42">
        <v>1054</v>
      </c>
      <c r="B82" s="42" t="s">
        <v>136</v>
      </c>
      <c r="C82" s="42" t="s">
        <v>199</v>
      </c>
      <c r="D82" s="42" t="s">
        <v>159</v>
      </c>
      <c r="E82" s="42" t="s">
        <v>140</v>
      </c>
      <c r="F82" s="42" t="s">
        <v>141</v>
      </c>
      <c r="G82" s="42">
        <v>8</v>
      </c>
      <c r="H82" s="42">
        <v>10</v>
      </c>
      <c r="I82" s="42"/>
      <c r="J82" s="42">
        <v>7</v>
      </c>
      <c r="K82" s="42"/>
      <c r="L82" s="42">
        <v>8</v>
      </c>
      <c r="M82" s="42">
        <v>8</v>
      </c>
      <c r="N82" s="42">
        <v>8</v>
      </c>
      <c r="O82" s="42"/>
    </row>
    <row r="83" spans="1:15" x14ac:dyDescent="0.35">
      <c r="A83" s="42">
        <v>929</v>
      </c>
      <c r="B83" s="42" t="s">
        <v>136</v>
      </c>
      <c r="C83" s="42" t="s">
        <v>137</v>
      </c>
      <c r="D83" s="42" t="s">
        <v>159</v>
      </c>
      <c r="E83" s="42" t="s">
        <v>160</v>
      </c>
      <c r="F83" s="42" t="s">
        <v>141</v>
      </c>
      <c r="G83" s="42">
        <v>7</v>
      </c>
      <c r="H83" s="42">
        <v>9</v>
      </c>
      <c r="I83" s="42">
        <v>7</v>
      </c>
      <c r="J83" s="42"/>
      <c r="K83" s="42">
        <v>5</v>
      </c>
      <c r="L83" s="42"/>
      <c r="M83" s="42">
        <v>7</v>
      </c>
      <c r="N83" s="42">
        <v>7</v>
      </c>
      <c r="O83" s="42"/>
    </row>
    <row r="84" spans="1:15" x14ac:dyDescent="0.35">
      <c r="A84" s="42">
        <v>1058</v>
      </c>
      <c r="B84" s="42" t="s">
        <v>136</v>
      </c>
      <c r="C84" s="42" t="s">
        <v>199</v>
      </c>
      <c r="D84" s="42" t="s">
        <v>176</v>
      </c>
      <c r="E84" s="42" t="s">
        <v>206</v>
      </c>
      <c r="F84" s="42" t="s">
        <v>141</v>
      </c>
      <c r="G84" s="42">
        <v>7</v>
      </c>
      <c r="H84" s="42">
        <v>9</v>
      </c>
      <c r="I84" s="42">
        <v>8</v>
      </c>
      <c r="J84" s="42">
        <v>8</v>
      </c>
      <c r="K84" s="42">
        <v>7</v>
      </c>
      <c r="L84" s="42"/>
      <c r="M84" s="42">
        <v>8</v>
      </c>
      <c r="N84" s="42">
        <v>9</v>
      </c>
      <c r="O84" s="42" t="s">
        <v>1755</v>
      </c>
    </row>
    <row r="85" spans="1:15" x14ac:dyDescent="0.35">
      <c r="A85" s="42">
        <v>935</v>
      </c>
      <c r="B85" s="42" t="s">
        <v>175</v>
      </c>
      <c r="C85" s="42" t="s">
        <v>199</v>
      </c>
      <c r="D85" s="42" t="s">
        <v>159</v>
      </c>
      <c r="E85" s="42" t="s">
        <v>160</v>
      </c>
      <c r="F85" s="42" t="s">
        <v>141</v>
      </c>
      <c r="G85" s="42">
        <v>3</v>
      </c>
      <c r="H85" s="42">
        <v>10</v>
      </c>
      <c r="I85" s="42">
        <v>8</v>
      </c>
      <c r="J85" s="42">
        <v>3</v>
      </c>
      <c r="K85" s="42">
        <v>8</v>
      </c>
      <c r="L85" s="42">
        <v>7</v>
      </c>
      <c r="M85" s="42">
        <v>9</v>
      </c>
      <c r="N85" s="42">
        <v>7</v>
      </c>
      <c r="O85" s="42"/>
    </row>
    <row r="86" spans="1:15" x14ac:dyDescent="0.35">
      <c r="A86" s="42">
        <v>937</v>
      </c>
      <c r="B86" s="42" t="s">
        <v>136</v>
      </c>
      <c r="C86" s="42" t="s">
        <v>137</v>
      </c>
      <c r="D86" s="42" t="s">
        <v>159</v>
      </c>
      <c r="E86" s="42" t="s">
        <v>160</v>
      </c>
      <c r="F86" s="42" t="s">
        <v>141</v>
      </c>
      <c r="G86" s="42">
        <v>6</v>
      </c>
      <c r="H86" s="42"/>
      <c r="I86" s="42">
        <v>7</v>
      </c>
      <c r="J86" s="42"/>
      <c r="K86" s="42"/>
      <c r="L86" s="42"/>
      <c r="M86" s="42">
        <v>8</v>
      </c>
      <c r="N86" s="42">
        <v>7</v>
      </c>
      <c r="O86" s="42"/>
    </row>
    <row r="87" spans="1:15" x14ac:dyDescent="0.35">
      <c r="A87" s="42">
        <v>947</v>
      </c>
      <c r="B87" s="42" t="s">
        <v>175</v>
      </c>
      <c r="C87" s="42" t="s">
        <v>137</v>
      </c>
      <c r="D87" s="42" t="s">
        <v>176</v>
      </c>
      <c r="E87" s="42" t="s">
        <v>160</v>
      </c>
      <c r="F87" s="42" t="s">
        <v>141</v>
      </c>
      <c r="G87" s="42">
        <v>7</v>
      </c>
      <c r="H87" s="42"/>
      <c r="I87" s="42">
        <v>9</v>
      </c>
      <c r="J87" s="42">
        <v>8</v>
      </c>
      <c r="K87" s="42">
        <v>5</v>
      </c>
      <c r="L87" s="42">
        <v>7</v>
      </c>
      <c r="M87" s="42">
        <v>10</v>
      </c>
      <c r="N87" s="42">
        <v>7</v>
      </c>
      <c r="O87" s="42" t="s">
        <v>1753</v>
      </c>
    </row>
    <row r="88" spans="1:15" x14ac:dyDescent="0.35">
      <c r="A88" s="42">
        <v>1016</v>
      </c>
      <c r="B88" s="42" t="s">
        <v>136</v>
      </c>
      <c r="C88" s="42" t="s">
        <v>199</v>
      </c>
      <c r="D88" s="42" t="s">
        <v>219</v>
      </c>
      <c r="E88" s="42" t="s">
        <v>160</v>
      </c>
      <c r="F88" s="42" t="s">
        <v>141</v>
      </c>
      <c r="G88" s="42">
        <v>6</v>
      </c>
      <c r="H88" s="42">
        <v>7</v>
      </c>
      <c r="I88" s="42">
        <v>5</v>
      </c>
      <c r="J88" s="42">
        <v>7</v>
      </c>
      <c r="K88" s="42">
        <v>9</v>
      </c>
      <c r="L88" s="42">
        <v>8</v>
      </c>
      <c r="M88" s="42">
        <v>7</v>
      </c>
      <c r="N88" s="42">
        <v>7</v>
      </c>
      <c r="O88" s="42" t="s">
        <v>1752</v>
      </c>
    </row>
    <row r="89" spans="1:15" x14ac:dyDescent="0.35">
      <c r="A89" s="42">
        <v>1062</v>
      </c>
      <c r="B89" s="42" t="s">
        <v>136</v>
      </c>
      <c r="C89" s="42" t="s">
        <v>137</v>
      </c>
      <c r="D89" s="42" t="s">
        <v>159</v>
      </c>
      <c r="E89" s="42" t="s">
        <v>160</v>
      </c>
      <c r="F89" s="42" t="s">
        <v>141</v>
      </c>
      <c r="G89" s="42">
        <v>9</v>
      </c>
      <c r="H89" s="42"/>
      <c r="I89" s="42"/>
      <c r="J89" s="42"/>
      <c r="K89" s="42"/>
      <c r="L89" s="42"/>
      <c r="M89" s="42">
        <v>8</v>
      </c>
      <c r="N89" s="42">
        <v>7</v>
      </c>
      <c r="O89" s="42"/>
    </row>
    <row r="90" spans="1:15" x14ac:dyDescent="0.35">
      <c r="A90" s="42">
        <v>1064</v>
      </c>
      <c r="B90" s="42" t="s">
        <v>136</v>
      </c>
      <c r="C90" s="42" t="s">
        <v>137</v>
      </c>
      <c r="D90" s="42" t="s">
        <v>159</v>
      </c>
      <c r="E90" s="42" t="s">
        <v>160</v>
      </c>
      <c r="F90" s="42" t="s">
        <v>141</v>
      </c>
      <c r="G90" s="42">
        <v>7</v>
      </c>
      <c r="H90" s="42"/>
      <c r="I90" s="42">
        <v>7</v>
      </c>
      <c r="J90" s="42">
        <v>7</v>
      </c>
      <c r="K90" s="42">
        <v>7</v>
      </c>
      <c r="L90" s="42">
        <v>8</v>
      </c>
      <c r="M90" s="42">
        <v>8</v>
      </c>
      <c r="N90" s="42">
        <v>7</v>
      </c>
      <c r="O90" s="42"/>
    </row>
    <row r="91" spans="1:15" x14ac:dyDescent="0.35">
      <c r="A91" s="42">
        <v>1067</v>
      </c>
      <c r="B91" s="42" t="s">
        <v>136</v>
      </c>
      <c r="C91" s="42" t="s">
        <v>137</v>
      </c>
      <c r="D91" s="42" t="s">
        <v>159</v>
      </c>
      <c r="E91" s="42" t="s">
        <v>160</v>
      </c>
      <c r="F91" s="42" t="s">
        <v>141</v>
      </c>
      <c r="G91" s="42">
        <v>5</v>
      </c>
      <c r="H91" s="42">
        <v>7</v>
      </c>
      <c r="I91" s="42">
        <v>8</v>
      </c>
      <c r="J91" s="42">
        <v>6</v>
      </c>
      <c r="K91" s="42">
        <v>8</v>
      </c>
      <c r="L91" s="42">
        <v>7</v>
      </c>
      <c r="M91" s="42">
        <v>7</v>
      </c>
      <c r="N91" s="42">
        <v>7</v>
      </c>
      <c r="O91" s="42"/>
    </row>
    <row r="92" spans="1:15" x14ac:dyDescent="0.35">
      <c r="A92" s="42">
        <v>1175</v>
      </c>
      <c r="B92" s="42" t="s">
        <v>136</v>
      </c>
      <c r="C92" s="42" t="s">
        <v>137</v>
      </c>
      <c r="D92" s="42" t="s">
        <v>176</v>
      </c>
      <c r="E92" s="42" t="s">
        <v>160</v>
      </c>
      <c r="F92" s="42" t="s">
        <v>200</v>
      </c>
      <c r="G92" s="42">
        <v>4</v>
      </c>
      <c r="H92" s="42"/>
      <c r="I92" s="42">
        <v>7</v>
      </c>
      <c r="J92" s="42">
        <v>4</v>
      </c>
      <c r="K92" s="42">
        <v>4</v>
      </c>
      <c r="L92" s="42">
        <v>6</v>
      </c>
      <c r="M92" s="42">
        <v>7</v>
      </c>
      <c r="N92" s="42">
        <v>7</v>
      </c>
      <c r="O92" s="42"/>
    </row>
    <row r="93" spans="1:15" x14ac:dyDescent="0.35">
      <c r="A93" s="42">
        <v>1080</v>
      </c>
      <c r="B93" s="42" t="s">
        <v>175</v>
      </c>
      <c r="C93" s="42" t="s">
        <v>137</v>
      </c>
      <c r="D93" s="42" t="s">
        <v>159</v>
      </c>
      <c r="E93" s="42" t="s">
        <v>140</v>
      </c>
      <c r="F93" s="42" t="s">
        <v>141</v>
      </c>
      <c r="G93" s="42">
        <v>3</v>
      </c>
      <c r="H93" s="42"/>
      <c r="I93" s="42">
        <v>5</v>
      </c>
      <c r="J93" s="42">
        <v>6</v>
      </c>
      <c r="K93" s="42">
        <v>4</v>
      </c>
      <c r="L93" s="42">
        <v>5</v>
      </c>
      <c r="M93" s="42">
        <v>6</v>
      </c>
      <c r="N93" s="42">
        <v>7</v>
      </c>
      <c r="O93" s="42"/>
    </row>
    <row r="94" spans="1:15" x14ac:dyDescent="0.35">
      <c r="A94" s="42">
        <v>1081</v>
      </c>
      <c r="B94" s="42" t="s">
        <v>136</v>
      </c>
      <c r="C94" s="42" t="s">
        <v>137</v>
      </c>
      <c r="D94" s="42" t="s">
        <v>219</v>
      </c>
      <c r="E94" s="42" t="s">
        <v>206</v>
      </c>
      <c r="F94" s="42" t="s">
        <v>141</v>
      </c>
      <c r="G94" s="42">
        <v>8</v>
      </c>
      <c r="H94" s="42">
        <v>10</v>
      </c>
      <c r="I94" s="42"/>
      <c r="J94" s="42">
        <v>9</v>
      </c>
      <c r="K94" s="42">
        <v>10</v>
      </c>
      <c r="L94" s="42">
        <v>6</v>
      </c>
      <c r="M94" s="42">
        <v>10</v>
      </c>
      <c r="N94" s="42">
        <v>9</v>
      </c>
      <c r="O94" s="42"/>
    </row>
    <row r="95" spans="1:15" x14ac:dyDescent="0.35">
      <c r="A95" s="42">
        <v>1179</v>
      </c>
      <c r="B95" s="42" t="s">
        <v>136</v>
      </c>
      <c r="C95" s="42" t="s">
        <v>137</v>
      </c>
      <c r="D95" s="42" t="s">
        <v>159</v>
      </c>
      <c r="E95" s="42" t="s">
        <v>160</v>
      </c>
      <c r="F95" s="42" t="s">
        <v>141</v>
      </c>
      <c r="G95" s="42">
        <v>3</v>
      </c>
      <c r="H95" s="42">
        <v>9</v>
      </c>
      <c r="I95" s="42"/>
      <c r="J95" s="42">
        <v>7</v>
      </c>
      <c r="K95" s="42">
        <v>7</v>
      </c>
      <c r="L95" s="42">
        <v>7</v>
      </c>
      <c r="M95" s="42">
        <v>9</v>
      </c>
      <c r="N95" s="42">
        <v>7</v>
      </c>
      <c r="O95" s="42"/>
    </row>
    <row r="96" spans="1:15" x14ac:dyDescent="0.35">
      <c r="A96" s="42">
        <v>1220</v>
      </c>
      <c r="B96" s="42" t="s">
        <v>136</v>
      </c>
      <c r="C96" s="42" t="s">
        <v>199</v>
      </c>
      <c r="D96" s="42" t="s">
        <v>176</v>
      </c>
      <c r="E96" s="42" t="s">
        <v>160</v>
      </c>
      <c r="F96" s="42" t="s">
        <v>200</v>
      </c>
      <c r="G96" s="42">
        <v>7</v>
      </c>
      <c r="H96" s="42"/>
      <c r="I96" s="42"/>
      <c r="J96" s="42"/>
      <c r="K96" s="42"/>
      <c r="L96" s="42">
        <v>6</v>
      </c>
      <c r="M96" s="42">
        <v>7</v>
      </c>
      <c r="N96" s="42">
        <v>7</v>
      </c>
      <c r="O96" s="42"/>
    </row>
    <row r="97" spans="1:15" x14ac:dyDescent="0.35">
      <c r="A97" s="42">
        <v>1090</v>
      </c>
      <c r="B97" s="42" t="s">
        <v>136</v>
      </c>
      <c r="C97" s="42" t="s">
        <v>199</v>
      </c>
      <c r="D97" s="42" t="s">
        <v>138</v>
      </c>
      <c r="E97" s="42" t="s">
        <v>140</v>
      </c>
      <c r="F97" s="42" t="s">
        <v>141</v>
      </c>
      <c r="G97" s="42">
        <v>6</v>
      </c>
      <c r="H97" s="42">
        <v>9</v>
      </c>
      <c r="I97" s="42">
        <v>7</v>
      </c>
      <c r="J97" s="42"/>
      <c r="K97" s="42"/>
      <c r="L97" s="42">
        <v>6</v>
      </c>
      <c r="M97" s="42">
        <v>9</v>
      </c>
      <c r="N97" s="42">
        <v>7</v>
      </c>
      <c r="O97" s="42"/>
    </row>
    <row r="98" spans="1:15" x14ac:dyDescent="0.35">
      <c r="A98" s="42">
        <v>1236</v>
      </c>
      <c r="B98" s="42" t="s">
        <v>136</v>
      </c>
      <c r="C98" s="42" t="s">
        <v>137</v>
      </c>
      <c r="D98" s="42" t="s">
        <v>219</v>
      </c>
      <c r="E98" s="42" t="s">
        <v>160</v>
      </c>
      <c r="F98" s="42" t="s">
        <v>141</v>
      </c>
      <c r="G98" s="42">
        <v>7</v>
      </c>
      <c r="H98" s="42"/>
      <c r="I98" s="42">
        <v>8</v>
      </c>
      <c r="J98" s="42"/>
      <c r="K98" s="42">
        <v>7</v>
      </c>
      <c r="L98" s="42">
        <v>7</v>
      </c>
      <c r="M98" s="42"/>
      <c r="N98" s="42">
        <v>7</v>
      </c>
      <c r="O98" s="42"/>
    </row>
    <row r="99" spans="1:15" x14ac:dyDescent="0.35">
      <c r="A99" s="42">
        <v>1251</v>
      </c>
      <c r="B99" s="42" t="s">
        <v>175</v>
      </c>
      <c r="C99" s="42" t="s">
        <v>199</v>
      </c>
      <c r="D99" s="42" t="s">
        <v>159</v>
      </c>
      <c r="E99" s="42" t="s">
        <v>160</v>
      </c>
      <c r="F99" s="42" t="s">
        <v>141</v>
      </c>
      <c r="G99" s="42">
        <v>7</v>
      </c>
      <c r="H99" s="42"/>
      <c r="I99" s="42"/>
      <c r="J99" s="42"/>
      <c r="K99" s="42"/>
      <c r="L99" s="42"/>
      <c r="M99" s="42">
        <v>6</v>
      </c>
      <c r="N99" s="42">
        <v>7</v>
      </c>
      <c r="O99" s="42"/>
    </row>
    <row r="100" spans="1:15" x14ac:dyDescent="0.35">
      <c r="A100" s="42">
        <v>1098</v>
      </c>
      <c r="B100" s="42" t="s">
        <v>136</v>
      </c>
      <c r="C100" s="42" t="s">
        <v>199</v>
      </c>
      <c r="D100" s="42" t="s">
        <v>176</v>
      </c>
      <c r="E100" s="42" t="s">
        <v>206</v>
      </c>
      <c r="F100" s="42" t="s">
        <v>200</v>
      </c>
      <c r="G100" s="42">
        <v>8</v>
      </c>
      <c r="H100" s="42">
        <v>8</v>
      </c>
      <c r="I100" s="42">
        <v>7</v>
      </c>
      <c r="J100" s="42"/>
      <c r="K100" s="42"/>
      <c r="L100" s="42">
        <v>7</v>
      </c>
      <c r="M100" s="42">
        <v>8</v>
      </c>
      <c r="N100" s="42">
        <v>9</v>
      </c>
      <c r="O100" s="42" t="s">
        <v>1754</v>
      </c>
    </row>
    <row r="101" spans="1:15" x14ac:dyDescent="0.35">
      <c r="A101" s="42">
        <v>1259</v>
      </c>
      <c r="B101" s="42" t="s">
        <v>136</v>
      </c>
      <c r="C101" s="42" t="s">
        <v>199</v>
      </c>
      <c r="D101" s="42" t="s">
        <v>159</v>
      </c>
      <c r="E101" s="42" t="s">
        <v>160</v>
      </c>
      <c r="F101" s="42" t="s">
        <v>141</v>
      </c>
      <c r="G101" s="42">
        <v>7</v>
      </c>
      <c r="H101" s="42"/>
      <c r="I101" s="42">
        <v>4</v>
      </c>
      <c r="J101" s="42"/>
      <c r="K101" s="42"/>
      <c r="L101" s="42"/>
      <c r="M101" s="42">
        <v>5</v>
      </c>
      <c r="N101" s="42">
        <v>7</v>
      </c>
      <c r="O101" s="42"/>
    </row>
    <row r="102" spans="1:15" x14ac:dyDescent="0.35">
      <c r="A102" s="42">
        <v>1100</v>
      </c>
      <c r="B102" s="42" t="s">
        <v>175</v>
      </c>
      <c r="C102" s="42" t="s">
        <v>199</v>
      </c>
      <c r="D102" s="42" t="s">
        <v>176</v>
      </c>
      <c r="E102" s="42" t="s">
        <v>140</v>
      </c>
      <c r="F102" s="42" t="s">
        <v>141</v>
      </c>
      <c r="G102" s="42">
        <v>4</v>
      </c>
      <c r="H102" s="42">
        <v>8</v>
      </c>
      <c r="I102" s="42">
        <v>6</v>
      </c>
      <c r="J102" s="42">
        <v>6</v>
      </c>
      <c r="K102" s="42">
        <v>7</v>
      </c>
      <c r="L102" s="42">
        <v>3</v>
      </c>
      <c r="M102" s="42">
        <v>7</v>
      </c>
      <c r="N102" s="42">
        <v>6</v>
      </c>
      <c r="O102" s="42"/>
    </row>
    <row r="103" spans="1:15" x14ac:dyDescent="0.35">
      <c r="A103" s="42">
        <v>1106</v>
      </c>
      <c r="B103" s="42" t="s">
        <v>136</v>
      </c>
      <c r="C103" s="42" t="s">
        <v>137</v>
      </c>
      <c r="D103" s="42" t="s">
        <v>138</v>
      </c>
      <c r="E103" s="42" t="s">
        <v>206</v>
      </c>
      <c r="F103" s="42" t="s">
        <v>141</v>
      </c>
      <c r="G103" s="42">
        <v>5</v>
      </c>
      <c r="H103" s="42">
        <v>9</v>
      </c>
      <c r="I103" s="42">
        <v>4</v>
      </c>
      <c r="J103" s="42">
        <v>2</v>
      </c>
      <c r="K103" s="42">
        <v>2</v>
      </c>
      <c r="L103" s="42">
        <v>6</v>
      </c>
      <c r="M103" s="42">
        <v>5</v>
      </c>
      <c r="N103" s="42">
        <v>1</v>
      </c>
      <c r="O103" s="42"/>
    </row>
    <row r="104" spans="1:15" x14ac:dyDescent="0.35">
      <c r="A104" s="42">
        <v>1109</v>
      </c>
      <c r="B104" s="42" t="s">
        <v>136</v>
      </c>
      <c r="C104" s="42" t="s">
        <v>199</v>
      </c>
      <c r="D104" s="42" t="s">
        <v>159</v>
      </c>
      <c r="E104" s="42" t="s">
        <v>140</v>
      </c>
      <c r="F104" s="42" t="s">
        <v>141</v>
      </c>
      <c r="G104" s="42">
        <v>10</v>
      </c>
      <c r="H104" s="42">
        <v>10</v>
      </c>
      <c r="I104" s="42">
        <v>10</v>
      </c>
      <c r="J104" s="42"/>
      <c r="K104" s="42"/>
      <c r="L104" s="42">
        <v>10</v>
      </c>
      <c r="M104" s="42">
        <v>10</v>
      </c>
      <c r="N104" s="42">
        <v>10</v>
      </c>
      <c r="O104" s="42" t="s">
        <v>1754</v>
      </c>
    </row>
    <row r="105" spans="1:15" x14ac:dyDescent="0.35">
      <c r="A105" s="42">
        <v>1272</v>
      </c>
      <c r="B105" s="42" t="s">
        <v>136</v>
      </c>
      <c r="C105" s="42" t="s">
        <v>137</v>
      </c>
      <c r="D105" s="42" t="s">
        <v>159</v>
      </c>
      <c r="E105" s="42" t="s">
        <v>160</v>
      </c>
      <c r="F105" s="42" t="s">
        <v>141</v>
      </c>
      <c r="G105" s="42">
        <v>6</v>
      </c>
      <c r="H105" s="42">
        <v>7</v>
      </c>
      <c r="I105" s="42">
        <v>7</v>
      </c>
      <c r="J105" s="42">
        <v>7</v>
      </c>
      <c r="K105" s="42">
        <v>8</v>
      </c>
      <c r="L105" s="42">
        <v>7</v>
      </c>
      <c r="M105" s="42">
        <v>7</v>
      </c>
      <c r="N105" s="42">
        <v>7</v>
      </c>
      <c r="O105" s="42" t="s">
        <v>1753</v>
      </c>
    </row>
    <row r="106" spans="1:15" x14ac:dyDescent="0.35">
      <c r="A106" s="42">
        <v>1312</v>
      </c>
      <c r="B106" s="42" t="s">
        <v>136</v>
      </c>
      <c r="C106" s="42" t="s">
        <v>199</v>
      </c>
      <c r="D106" s="42" t="s">
        <v>159</v>
      </c>
      <c r="E106" s="42" t="s">
        <v>160</v>
      </c>
      <c r="F106" s="42" t="s">
        <v>141</v>
      </c>
      <c r="G106" s="42">
        <v>7</v>
      </c>
      <c r="H106" s="42"/>
      <c r="I106" s="42">
        <v>6</v>
      </c>
      <c r="J106" s="42"/>
      <c r="K106" s="42">
        <v>3</v>
      </c>
      <c r="L106" s="42"/>
      <c r="M106" s="42">
        <v>5</v>
      </c>
      <c r="N106" s="42">
        <v>7</v>
      </c>
      <c r="O106" s="42" t="s">
        <v>1755</v>
      </c>
    </row>
    <row r="107" spans="1:15" x14ac:dyDescent="0.35">
      <c r="A107" s="42">
        <v>1324</v>
      </c>
      <c r="B107" s="42" t="s">
        <v>136</v>
      </c>
      <c r="C107" s="42" t="s">
        <v>199</v>
      </c>
      <c r="D107" s="42" t="s">
        <v>159</v>
      </c>
      <c r="E107" s="42" t="s">
        <v>160</v>
      </c>
      <c r="F107" s="42" t="s">
        <v>141</v>
      </c>
      <c r="G107" s="42">
        <v>4</v>
      </c>
      <c r="H107" s="42">
        <v>10</v>
      </c>
      <c r="I107" s="42"/>
      <c r="J107" s="42">
        <v>7</v>
      </c>
      <c r="K107" s="42">
        <v>7</v>
      </c>
      <c r="L107" s="42">
        <v>7</v>
      </c>
      <c r="M107" s="42">
        <v>10</v>
      </c>
      <c r="N107" s="42">
        <v>7</v>
      </c>
      <c r="O107" s="42"/>
    </row>
    <row r="108" spans="1:15" x14ac:dyDescent="0.35">
      <c r="A108" s="42">
        <v>1337</v>
      </c>
      <c r="B108" s="42" t="s">
        <v>136</v>
      </c>
      <c r="C108" s="42" t="s">
        <v>137</v>
      </c>
      <c r="D108" s="42" t="s">
        <v>176</v>
      </c>
      <c r="E108" s="42" t="s">
        <v>160</v>
      </c>
      <c r="F108" s="42" t="s">
        <v>141</v>
      </c>
      <c r="G108" s="42">
        <v>6</v>
      </c>
      <c r="H108" s="42"/>
      <c r="I108" s="42">
        <v>8</v>
      </c>
      <c r="J108" s="42">
        <v>7</v>
      </c>
      <c r="K108" s="42">
        <v>6</v>
      </c>
      <c r="L108" s="42">
        <v>7</v>
      </c>
      <c r="M108" s="42">
        <v>7</v>
      </c>
      <c r="N108" s="42">
        <v>7</v>
      </c>
      <c r="O108" s="42" t="s">
        <v>1754</v>
      </c>
    </row>
    <row r="109" spans="1:15" x14ac:dyDescent="0.35">
      <c r="A109" s="42">
        <v>1123</v>
      </c>
      <c r="B109" s="42" t="s">
        <v>136</v>
      </c>
      <c r="C109" s="42" t="s">
        <v>199</v>
      </c>
      <c r="D109" s="42" t="s">
        <v>159</v>
      </c>
      <c r="E109" s="42" t="s">
        <v>140</v>
      </c>
      <c r="F109" s="42" t="s">
        <v>141</v>
      </c>
      <c r="G109" s="42">
        <v>8</v>
      </c>
      <c r="H109" s="42">
        <v>7</v>
      </c>
      <c r="I109" s="42">
        <v>7</v>
      </c>
      <c r="J109" s="42">
        <v>6</v>
      </c>
      <c r="K109" s="42"/>
      <c r="L109" s="42">
        <v>8</v>
      </c>
      <c r="M109" s="42">
        <v>9</v>
      </c>
      <c r="N109" s="42">
        <v>8</v>
      </c>
      <c r="O109" s="42" t="s">
        <v>1754</v>
      </c>
    </row>
    <row r="110" spans="1:15" x14ac:dyDescent="0.35">
      <c r="A110" s="42">
        <v>1129</v>
      </c>
      <c r="B110" s="42" t="s">
        <v>136</v>
      </c>
      <c r="C110" s="42" t="s">
        <v>137</v>
      </c>
      <c r="D110" s="42" t="s">
        <v>159</v>
      </c>
      <c r="E110" s="42" t="s">
        <v>206</v>
      </c>
      <c r="F110" s="42" t="s">
        <v>141</v>
      </c>
      <c r="G110" s="42">
        <v>7</v>
      </c>
      <c r="H110" s="42"/>
      <c r="I110" s="42">
        <v>9</v>
      </c>
      <c r="J110" s="42">
        <v>5</v>
      </c>
      <c r="K110" s="42">
        <v>7</v>
      </c>
      <c r="L110" s="42">
        <v>9</v>
      </c>
      <c r="M110" s="42">
        <v>8</v>
      </c>
      <c r="N110" s="42">
        <v>8</v>
      </c>
      <c r="O110" s="42" t="s">
        <v>1753</v>
      </c>
    </row>
    <row r="111" spans="1:15" x14ac:dyDescent="0.35">
      <c r="A111" s="42">
        <v>1340</v>
      </c>
      <c r="B111" s="42" t="s">
        <v>136</v>
      </c>
      <c r="C111" s="42" t="s">
        <v>137</v>
      </c>
      <c r="D111" s="42" t="s">
        <v>159</v>
      </c>
      <c r="E111" s="42" t="s">
        <v>160</v>
      </c>
      <c r="F111" s="42" t="s">
        <v>141</v>
      </c>
      <c r="G111" s="42">
        <v>5</v>
      </c>
      <c r="H111" s="42"/>
      <c r="I111" s="42">
        <v>7</v>
      </c>
      <c r="J111" s="42">
        <v>7</v>
      </c>
      <c r="K111" s="42">
        <v>4</v>
      </c>
      <c r="L111" s="42">
        <v>7</v>
      </c>
      <c r="M111" s="42">
        <v>9</v>
      </c>
      <c r="N111" s="42">
        <v>7</v>
      </c>
      <c r="O111" s="42"/>
    </row>
    <row r="112" spans="1:15" x14ac:dyDescent="0.35">
      <c r="A112" s="42">
        <v>1133</v>
      </c>
      <c r="B112" s="42" t="s">
        <v>136</v>
      </c>
      <c r="C112" s="42" t="s">
        <v>199</v>
      </c>
      <c r="D112" s="42" t="s">
        <v>159</v>
      </c>
      <c r="E112" s="42" t="s">
        <v>206</v>
      </c>
      <c r="F112" s="42" t="s">
        <v>141</v>
      </c>
      <c r="G112" s="42">
        <v>8</v>
      </c>
      <c r="H112" s="42">
        <v>10</v>
      </c>
      <c r="I112" s="42">
        <v>6</v>
      </c>
      <c r="J112" s="42">
        <v>6</v>
      </c>
      <c r="K112" s="42">
        <v>6</v>
      </c>
      <c r="L112" s="42">
        <v>8</v>
      </c>
      <c r="M112" s="42"/>
      <c r="N112" s="42">
        <v>6</v>
      </c>
      <c r="O112" s="42" t="s">
        <v>1755</v>
      </c>
    </row>
    <row r="113" spans="1:15" x14ac:dyDescent="0.35">
      <c r="A113" s="42">
        <v>1134</v>
      </c>
      <c r="B113" s="42" t="s">
        <v>136</v>
      </c>
      <c r="C113" s="42" t="s">
        <v>137</v>
      </c>
      <c r="D113" s="42" t="s">
        <v>176</v>
      </c>
      <c r="E113" s="42" t="s">
        <v>140</v>
      </c>
      <c r="F113" s="42" t="s">
        <v>141</v>
      </c>
      <c r="G113" s="42">
        <v>7</v>
      </c>
      <c r="H113" s="42"/>
      <c r="I113" s="42">
        <v>8</v>
      </c>
      <c r="J113" s="42">
        <v>7</v>
      </c>
      <c r="K113" s="42">
        <v>9</v>
      </c>
      <c r="L113" s="42">
        <v>7</v>
      </c>
      <c r="M113" s="42">
        <v>9</v>
      </c>
      <c r="N113" s="42">
        <v>8</v>
      </c>
      <c r="O113" s="42"/>
    </row>
    <row r="114" spans="1:15" x14ac:dyDescent="0.35">
      <c r="A114" s="42">
        <v>1006</v>
      </c>
      <c r="B114" s="42" t="s">
        <v>175</v>
      </c>
      <c r="C114" s="42" t="s">
        <v>137</v>
      </c>
      <c r="D114" s="42" t="s">
        <v>159</v>
      </c>
      <c r="E114" s="42" t="s">
        <v>160</v>
      </c>
      <c r="F114" s="42" t="s">
        <v>141</v>
      </c>
      <c r="G114" s="42">
        <v>8</v>
      </c>
      <c r="H114" s="42">
        <v>10</v>
      </c>
      <c r="I114" s="42">
        <v>6</v>
      </c>
      <c r="J114" s="42">
        <v>10</v>
      </c>
      <c r="K114" s="42">
        <v>1</v>
      </c>
      <c r="L114" s="42">
        <v>3</v>
      </c>
      <c r="M114" s="42">
        <v>3</v>
      </c>
      <c r="N114" s="42">
        <v>6</v>
      </c>
      <c r="O114" s="42"/>
    </row>
    <row r="115" spans="1:15" x14ac:dyDescent="0.35">
      <c r="A115" s="42">
        <v>1091</v>
      </c>
      <c r="B115" s="42" t="s">
        <v>136</v>
      </c>
      <c r="C115" s="42" t="s">
        <v>137</v>
      </c>
      <c r="D115" s="42" t="s">
        <v>159</v>
      </c>
      <c r="E115" s="42" t="s">
        <v>160</v>
      </c>
      <c r="F115" s="42" t="s">
        <v>141</v>
      </c>
      <c r="G115" s="42">
        <v>6</v>
      </c>
      <c r="H115" s="42">
        <v>7</v>
      </c>
      <c r="I115" s="42">
        <v>8</v>
      </c>
      <c r="J115" s="42">
        <v>8</v>
      </c>
      <c r="K115" s="42">
        <v>7</v>
      </c>
      <c r="L115" s="42">
        <v>5</v>
      </c>
      <c r="M115" s="42">
        <v>7</v>
      </c>
      <c r="N115" s="42">
        <v>6</v>
      </c>
      <c r="O115" s="42"/>
    </row>
    <row r="116" spans="1:15" x14ac:dyDescent="0.35">
      <c r="A116" s="42">
        <v>1325</v>
      </c>
      <c r="B116" s="42" t="s">
        <v>175</v>
      </c>
      <c r="C116" s="42" t="s">
        <v>199</v>
      </c>
      <c r="D116" s="42" t="s">
        <v>176</v>
      </c>
      <c r="E116" s="42" t="s">
        <v>160</v>
      </c>
      <c r="F116" s="42" t="s">
        <v>141</v>
      </c>
      <c r="G116" s="42">
        <v>6</v>
      </c>
      <c r="H116" s="42"/>
      <c r="I116" s="42">
        <v>3</v>
      </c>
      <c r="J116" s="42"/>
      <c r="K116" s="42"/>
      <c r="L116" s="42"/>
      <c r="M116" s="42">
        <v>5</v>
      </c>
      <c r="N116" s="42">
        <v>6</v>
      </c>
      <c r="O116" s="42"/>
    </row>
    <row r="117" spans="1:15" x14ac:dyDescent="0.35">
      <c r="A117" s="42">
        <v>1152</v>
      </c>
      <c r="B117" s="42" t="s">
        <v>136</v>
      </c>
      <c r="C117" s="42" t="s">
        <v>199</v>
      </c>
      <c r="D117" s="42" t="s">
        <v>219</v>
      </c>
      <c r="E117" s="42" t="s">
        <v>206</v>
      </c>
      <c r="F117" s="42" t="s">
        <v>141</v>
      </c>
      <c r="G117" s="42">
        <v>7</v>
      </c>
      <c r="H117" s="42"/>
      <c r="I117" s="42"/>
      <c r="J117" s="42">
        <v>7</v>
      </c>
      <c r="K117" s="42">
        <v>8</v>
      </c>
      <c r="L117" s="42"/>
      <c r="M117" s="42">
        <v>8</v>
      </c>
      <c r="N117" s="42">
        <v>8</v>
      </c>
      <c r="O117" s="42"/>
    </row>
    <row r="118" spans="1:15" x14ac:dyDescent="0.35">
      <c r="A118" s="42">
        <v>1155</v>
      </c>
      <c r="B118" s="42" t="s">
        <v>136</v>
      </c>
      <c r="C118" s="42" t="s">
        <v>199</v>
      </c>
      <c r="D118" s="42" t="s">
        <v>219</v>
      </c>
      <c r="E118" s="42" t="s">
        <v>140</v>
      </c>
      <c r="F118" s="42" t="s">
        <v>141</v>
      </c>
      <c r="G118" s="42">
        <v>8</v>
      </c>
      <c r="H118" s="42">
        <v>10</v>
      </c>
      <c r="I118" s="42"/>
      <c r="J118" s="42">
        <v>5</v>
      </c>
      <c r="K118" s="42"/>
      <c r="L118" s="42">
        <v>7</v>
      </c>
      <c r="M118" s="42">
        <v>10</v>
      </c>
      <c r="N118" s="42">
        <v>9</v>
      </c>
      <c r="O118" s="42"/>
    </row>
    <row r="119" spans="1:15" x14ac:dyDescent="0.35">
      <c r="A119" s="42">
        <v>1159</v>
      </c>
      <c r="B119" s="42" t="s">
        <v>136</v>
      </c>
      <c r="C119" s="42" t="s">
        <v>199</v>
      </c>
      <c r="D119" s="42" t="s">
        <v>159</v>
      </c>
      <c r="E119" s="42" t="s">
        <v>140</v>
      </c>
      <c r="F119" s="42" t="s">
        <v>141</v>
      </c>
      <c r="G119" s="42">
        <v>7</v>
      </c>
      <c r="H119" s="42">
        <v>7</v>
      </c>
      <c r="I119" s="42">
        <v>6</v>
      </c>
      <c r="J119" s="42">
        <v>5</v>
      </c>
      <c r="K119" s="42">
        <v>7</v>
      </c>
      <c r="L119" s="42">
        <v>8</v>
      </c>
      <c r="M119" s="42">
        <v>6</v>
      </c>
      <c r="N119" s="42">
        <v>7</v>
      </c>
      <c r="O119" s="42"/>
    </row>
    <row r="120" spans="1:15" x14ac:dyDescent="0.35">
      <c r="A120" s="42">
        <v>879</v>
      </c>
      <c r="B120" s="42" t="s">
        <v>175</v>
      </c>
      <c r="C120" s="42" t="s">
        <v>199</v>
      </c>
      <c r="D120" s="42" t="s">
        <v>159</v>
      </c>
      <c r="E120" s="42" t="s">
        <v>160</v>
      </c>
      <c r="F120" s="42" t="s">
        <v>141</v>
      </c>
      <c r="G120" s="42">
        <v>6</v>
      </c>
      <c r="H120" s="42"/>
      <c r="I120" s="42">
        <v>6</v>
      </c>
      <c r="J120" s="42">
        <v>3</v>
      </c>
      <c r="K120" s="42">
        <v>7</v>
      </c>
      <c r="L120" s="42">
        <v>7</v>
      </c>
      <c r="M120" s="42">
        <v>8</v>
      </c>
      <c r="N120" s="42">
        <v>5</v>
      </c>
      <c r="O120" s="42"/>
    </row>
    <row r="121" spans="1:15" x14ac:dyDescent="0.35">
      <c r="A121" s="42">
        <v>1165</v>
      </c>
      <c r="B121" s="42" t="s">
        <v>175</v>
      </c>
      <c r="C121" s="42" t="s">
        <v>199</v>
      </c>
      <c r="D121" s="42" t="s">
        <v>176</v>
      </c>
      <c r="E121" s="42" t="s">
        <v>206</v>
      </c>
      <c r="F121" s="42" t="s">
        <v>141</v>
      </c>
      <c r="G121" s="42">
        <v>3</v>
      </c>
      <c r="H121" s="42"/>
      <c r="I121" s="42"/>
      <c r="J121" s="42"/>
      <c r="K121" s="42"/>
      <c r="L121" s="42">
        <v>5</v>
      </c>
      <c r="M121" s="42">
        <v>5</v>
      </c>
      <c r="N121" s="42">
        <v>2</v>
      </c>
      <c r="O121" s="42"/>
    </row>
    <row r="122" spans="1:15" x14ac:dyDescent="0.35">
      <c r="A122" s="42">
        <v>1169</v>
      </c>
      <c r="B122" s="42" t="s">
        <v>136</v>
      </c>
      <c r="C122" s="42" t="s">
        <v>137</v>
      </c>
      <c r="D122" s="42" t="s">
        <v>138</v>
      </c>
      <c r="E122" s="42" t="s">
        <v>140</v>
      </c>
      <c r="F122" s="42" t="s">
        <v>141</v>
      </c>
      <c r="G122" s="42">
        <v>7</v>
      </c>
      <c r="H122" s="42">
        <v>8</v>
      </c>
      <c r="I122" s="42">
        <v>7</v>
      </c>
      <c r="J122" s="42">
        <v>5</v>
      </c>
      <c r="K122" s="42">
        <v>8</v>
      </c>
      <c r="L122" s="42">
        <v>5</v>
      </c>
      <c r="M122" s="42">
        <v>6</v>
      </c>
      <c r="N122" s="42">
        <v>10</v>
      </c>
      <c r="O122" s="42" t="s">
        <v>1754</v>
      </c>
    </row>
    <row r="123" spans="1:15" x14ac:dyDescent="0.35">
      <c r="A123" s="42">
        <v>1171</v>
      </c>
      <c r="B123" s="42" t="s">
        <v>136</v>
      </c>
      <c r="C123" s="42" t="s">
        <v>199</v>
      </c>
      <c r="D123" s="42" t="s">
        <v>176</v>
      </c>
      <c r="E123" s="42" t="s">
        <v>206</v>
      </c>
      <c r="F123" s="42" t="s">
        <v>200</v>
      </c>
      <c r="G123" s="42">
        <v>7</v>
      </c>
      <c r="H123" s="42"/>
      <c r="I123" s="42"/>
      <c r="J123" s="42">
        <v>7</v>
      </c>
      <c r="K123" s="42">
        <v>8</v>
      </c>
      <c r="L123" s="42">
        <v>8</v>
      </c>
      <c r="M123" s="42">
        <v>7</v>
      </c>
      <c r="N123" s="42">
        <v>7</v>
      </c>
      <c r="O123" s="42"/>
    </row>
    <row r="124" spans="1:15" x14ac:dyDescent="0.35">
      <c r="A124" s="42">
        <v>1111</v>
      </c>
      <c r="B124" s="42" t="s">
        <v>136</v>
      </c>
      <c r="C124" s="42" t="s">
        <v>137</v>
      </c>
      <c r="D124" s="42" t="s">
        <v>159</v>
      </c>
      <c r="E124" s="42" t="s">
        <v>160</v>
      </c>
      <c r="F124" s="42" t="s">
        <v>141</v>
      </c>
      <c r="G124" s="42">
        <v>4</v>
      </c>
      <c r="H124" s="42"/>
      <c r="I124" s="42"/>
      <c r="J124" s="42">
        <v>5</v>
      </c>
      <c r="K124" s="42">
        <v>3</v>
      </c>
      <c r="L124" s="42">
        <v>4</v>
      </c>
      <c r="M124" s="42">
        <v>9</v>
      </c>
      <c r="N124" s="42">
        <v>5</v>
      </c>
      <c r="O124" s="42"/>
    </row>
    <row r="125" spans="1:15" x14ac:dyDescent="0.35">
      <c r="A125" s="42">
        <v>1160</v>
      </c>
      <c r="B125" s="42" t="s">
        <v>175</v>
      </c>
      <c r="C125" s="42" t="s">
        <v>199</v>
      </c>
      <c r="D125" s="42" t="s">
        <v>176</v>
      </c>
      <c r="E125" s="42" t="s">
        <v>160</v>
      </c>
      <c r="F125" s="42" t="s">
        <v>141</v>
      </c>
      <c r="G125" s="42">
        <v>3</v>
      </c>
      <c r="H125" s="42"/>
      <c r="I125" s="42">
        <v>10</v>
      </c>
      <c r="J125" s="42"/>
      <c r="K125" s="42">
        <v>2</v>
      </c>
      <c r="L125" s="42">
        <v>5</v>
      </c>
      <c r="M125" s="42">
        <v>3</v>
      </c>
      <c r="N125" s="42">
        <v>5</v>
      </c>
      <c r="O125" s="42"/>
    </row>
    <row r="126" spans="1:15" x14ac:dyDescent="0.35">
      <c r="A126" s="42">
        <v>1278</v>
      </c>
      <c r="B126" s="42" t="s">
        <v>136</v>
      </c>
      <c r="C126" s="42" t="s">
        <v>137</v>
      </c>
      <c r="D126" s="42" t="s">
        <v>176</v>
      </c>
      <c r="E126" s="42" t="s">
        <v>160</v>
      </c>
      <c r="F126" s="42" t="s">
        <v>141</v>
      </c>
      <c r="G126" s="42">
        <v>7</v>
      </c>
      <c r="H126" s="42">
        <v>10</v>
      </c>
      <c r="I126" s="42">
        <v>8</v>
      </c>
      <c r="J126" s="42"/>
      <c r="K126" s="42"/>
      <c r="L126" s="42">
        <v>2</v>
      </c>
      <c r="M126" s="42">
        <v>7</v>
      </c>
      <c r="N126" s="42">
        <v>5</v>
      </c>
      <c r="O126" s="42" t="s">
        <v>1753</v>
      </c>
    </row>
    <row r="127" spans="1:15" x14ac:dyDescent="0.35">
      <c r="A127" s="42">
        <v>1302</v>
      </c>
      <c r="B127" s="42" t="s">
        <v>136</v>
      </c>
      <c r="C127" s="42" t="s">
        <v>199</v>
      </c>
      <c r="D127" s="42" t="s">
        <v>138</v>
      </c>
      <c r="E127" s="42" t="s">
        <v>160</v>
      </c>
      <c r="F127" s="42" t="s">
        <v>141</v>
      </c>
      <c r="G127" s="42">
        <v>7</v>
      </c>
      <c r="H127" s="42">
        <v>8</v>
      </c>
      <c r="I127" s="42">
        <v>4</v>
      </c>
      <c r="J127" s="42">
        <v>7</v>
      </c>
      <c r="K127" s="42">
        <v>7</v>
      </c>
      <c r="L127" s="42">
        <v>6</v>
      </c>
      <c r="M127" s="42">
        <v>3</v>
      </c>
      <c r="N127" s="42">
        <v>5</v>
      </c>
      <c r="O127" s="42"/>
    </row>
    <row r="128" spans="1:15" x14ac:dyDescent="0.35">
      <c r="A128" s="42">
        <v>1185</v>
      </c>
      <c r="B128" s="42" t="s">
        <v>136</v>
      </c>
      <c r="C128" s="42" t="s">
        <v>137</v>
      </c>
      <c r="D128" s="42" t="s">
        <v>159</v>
      </c>
      <c r="E128" s="42" t="s">
        <v>140</v>
      </c>
      <c r="F128" s="42" t="s">
        <v>141</v>
      </c>
      <c r="G128" s="42">
        <v>4</v>
      </c>
      <c r="H128" s="42"/>
      <c r="I128" s="42">
        <v>8</v>
      </c>
      <c r="J128" s="42">
        <v>9</v>
      </c>
      <c r="K128" s="42">
        <v>3</v>
      </c>
      <c r="L128" s="42">
        <v>5</v>
      </c>
      <c r="M128" s="42">
        <v>10</v>
      </c>
      <c r="N128" s="42">
        <v>8</v>
      </c>
      <c r="O128" s="42"/>
    </row>
    <row r="129" spans="1:15" x14ac:dyDescent="0.35">
      <c r="A129" s="42">
        <v>976</v>
      </c>
      <c r="B129" s="42" t="s">
        <v>136</v>
      </c>
      <c r="C129" s="42" t="s">
        <v>199</v>
      </c>
      <c r="D129" s="42" t="s">
        <v>138</v>
      </c>
      <c r="E129" s="42" t="s">
        <v>160</v>
      </c>
      <c r="F129" s="42" t="s">
        <v>141</v>
      </c>
      <c r="G129" s="42">
        <v>4</v>
      </c>
      <c r="H129" s="42">
        <v>6</v>
      </c>
      <c r="I129" s="42"/>
      <c r="J129" s="42">
        <v>8</v>
      </c>
      <c r="K129" s="42">
        <v>3</v>
      </c>
      <c r="L129" s="42">
        <v>6</v>
      </c>
      <c r="M129" s="42">
        <v>6</v>
      </c>
      <c r="N129" s="42">
        <v>4</v>
      </c>
      <c r="O129" s="42"/>
    </row>
    <row r="130" spans="1:15" x14ac:dyDescent="0.35">
      <c r="A130" s="42">
        <v>1187</v>
      </c>
      <c r="B130" s="42" t="s">
        <v>175</v>
      </c>
      <c r="C130" s="42" t="s">
        <v>137</v>
      </c>
      <c r="D130" s="42" t="s">
        <v>159</v>
      </c>
      <c r="E130" s="42" t="s">
        <v>140</v>
      </c>
      <c r="F130" s="42" t="s">
        <v>141</v>
      </c>
      <c r="G130" s="42">
        <v>6</v>
      </c>
      <c r="H130" s="42">
        <v>7</v>
      </c>
      <c r="I130" s="42">
        <v>7</v>
      </c>
      <c r="J130" s="42">
        <v>7</v>
      </c>
      <c r="K130" s="42">
        <v>6</v>
      </c>
      <c r="L130" s="42">
        <v>6</v>
      </c>
      <c r="M130" s="42">
        <v>6</v>
      </c>
      <c r="N130" s="42">
        <v>7</v>
      </c>
      <c r="O130" s="42"/>
    </row>
    <row r="131" spans="1:15" x14ac:dyDescent="0.35">
      <c r="A131" s="42">
        <v>1191</v>
      </c>
      <c r="B131" s="42" t="s">
        <v>136</v>
      </c>
      <c r="C131" s="42" t="s">
        <v>137</v>
      </c>
      <c r="D131" s="42" t="s">
        <v>159</v>
      </c>
      <c r="E131" s="42" t="s">
        <v>206</v>
      </c>
      <c r="F131" s="42" t="s">
        <v>141</v>
      </c>
      <c r="G131" s="42">
        <v>4</v>
      </c>
      <c r="H131" s="42"/>
      <c r="I131" s="42">
        <v>4</v>
      </c>
      <c r="J131" s="42"/>
      <c r="K131" s="42">
        <v>1</v>
      </c>
      <c r="L131" s="42">
        <v>3</v>
      </c>
      <c r="M131" s="42">
        <v>5</v>
      </c>
      <c r="N131" s="42">
        <v>1</v>
      </c>
      <c r="O131" s="42" t="s">
        <v>1752</v>
      </c>
    </row>
    <row r="132" spans="1:15" x14ac:dyDescent="0.35">
      <c r="A132" s="42">
        <v>1195</v>
      </c>
      <c r="B132" s="42" t="s">
        <v>136</v>
      </c>
      <c r="C132" s="42" t="s">
        <v>199</v>
      </c>
      <c r="D132" s="42" t="s">
        <v>159</v>
      </c>
      <c r="E132" s="42" t="s">
        <v>206</v>
      </c>
      <c r="F132" s="42" t="s">
        <v>141</v>
      </c>
      <c r="G132" s="42">
        <v>10</v>
      </c>
      <c r="H132" s="42">
        <v>10</v>
      </c>
      <c r="I132" s="42">
        <v>10</v>
      </c>
      <c r="J132" s="42"/>
      <c r="K132" s="42">
        <v>5</v>
      </c>
      <c r="L132" s="42">
        <v>10</v>
      </c>
      <c r="M132" s="42">
        <v>10</v>
      </c>
      <c r="N132" s="42">
        <v>10</v>
      </c>
      <c r="O132" s="42"/>
    </row>
    <row r="133" spans="1:15" x14ac:dyDescent="0.35">
      <c r="A133" s="42">
        <v>1201</v>
      </c>
      <c r="B133" s="42" t="s">
        <v>136</v>
      </c>
      <c r="C133" s="42" t="s">
        <v>137</v>
      </c>
      <c r="D133" s="42" t="s">
        <v>159</v>
      </c>
      <c r="E133" s="42" t="s">
        <v>140</v>
      </c>
      <c r="F133" s="42" t="s">
        <v>141</v>
      </c>
      <c r="G133" s="42">
        <v>4</v>
      </c>
      <c r="H133" s="42"/>
      <c r="I133" s="42">
        <v>8</v>
      </c>
      <c r="J133" s="42">
        <v>5</v>
      </c>
      <c r="K133" s="42">
        <v>2</v>
      </c>
      <c r="L133" s="42">
        <v>3</v>
      </c>
      <c r="M133" s="42">
        <v>7</v>
      </c>
      <c r="N133" s="42">
        <v>1</v>
      </c>
      <c r="O133" s="42" t="s">
        <v>1753</v>
      </c>
    </row>
    <row r="134" spans="1:15" x14ac:dyDescent="0.35">
      <c r="A134" s="42">
        <v>1068</v>
      </c>
      <c r="B134" s="42" t="s">
        <v>136</v>
      </c>
      <c r="C134" s="42" t="s">
        <v>137</v>
      </c>
      <c r="D134" s="42" t="s">
        <v>138</v>
      </c>
      <c r="E134" s="42" t="s">
        <v>160</v>
      </c>
      <c r="F134" s="42" t="s">
        <v>141</v>
      </c>
      <c r="G134" s="42">
        <v>5</v>
      </c>
      <c r="H134" s="42"/>
      <c r="I134" s="42">
        <v>6</v>
      </c>
      <c r="J134" s="42">
        <v>7</v>
      </c>
      <c r="K134" s="42">
        <v>9</v>
      </c>
      <c r="L134" s="42">
        <v>8</v>
      </c>
      <c r="M134" s="42">
        <v>6</v>
      </c>
      <c r="N134" s="42">
        <v>4</v>
      </c>
      <c r="O134" s="42"/>
    </row>
    <row r="135" spans="1:15" x14ac:dyDescent="0.35">
      <c r="A135" s="42">
        <v>1205</v>
      </c>
      <c r="B135" s="42" t="s">
        <v>136</v>
      </c>
      <c r="C135" s="42" t="s">
        <v>199</v>
      </c>
      <c r="D135" s="42" t="s">
        <v>159</v>
      </c>
      <c r="E135" s="42" t="s">
        <v>206</v>
      </c>
      <c r="F135" s="42" t="s">
        <v>141</v>
      </c>
      <c r="G135" s="42">
        <v>7</v>
      </c>
      <c r="H135" s="42"/>
      <c r="I135" s="42">
        <v>4</v>
      </c>
      <c r="J135" s="42"/>
      <c r="K135" s="42"/>
      <c r="L135" s="42"/>
      <c r="M135" s="42">
        <v>6</v>
      </c>
      <c r="N135" s="42">
        <v>5</v>
      </c>
      <c r="O135" s="42" t="s">
        <v>1752</v>
      </c>
    </row>
    <row r="136" spans="1:15" x14ac:dyDescent="0.35">
      <c r="A136" s="42">
        <v>1116</v>
      </c>
      <c r="B136" s="42" t="s">
        <v>175</v>
      </c>
      <c r="C136" s="42" t="s">
        <v>199</v>
      </c>
      <c r="D136" s="42" t="s">
        <v>159</v>
      </c>
      <c r="E136" s="42" t="s">
        <v>160</v>
      </c>
      <c r="F136" s="42" t="s">
        <v>141</v>
      </c>
      <c r="G136" s="42">
        <v>4</v>
      </c>
      <c r="H136" s="42"/>
      <c r="I136" s="42">
        <v>4</v>
      </c>
      <c r="J136" s="42"/>
      <c r="K136" s="42"/>
      <c r="L136" s="42"/>
      <c r="M136" s="42">
        <v>3</v>
      </c>
      <c r="N136" s="42">
        <v>4</v>
      </c>
      <c r="O136" s="42"/>
    </row>
    <row r="137" spans="1:15" x14ac:dyDescent="0.35">
      <c r="A137" s="42">
        <v>1301</v>
      </c>
      <c r="B137" s="42" t="s">
        <v>136</v>
      </c>
      <c r="C137" s="42" t="s">
        <v>137</v>
      </c>
      <c r="D137" s="42" t="s">
        <v>159</v>
      </c>
      <c r="E137" s="42" t="s">
        <v>160</v>
      </c>
      <c r="F137" s="42" t="s">
        <v>141</v>
      </c>
      <c r="G137" s="42">
        <v>7</v>
      </c>
      <c r="H137" s="42"/>
      <c r="I137" s="42">
        <v>5</v>
      </c>
      <c r="J137" s="42">
        <v>8</v>
      </c>
      <c r="K137" s="42">
        <v>6</v>
      </c>
      <c r="L137" s="42"/>
      <c r="M137" s="42">
        <v>8</v>
      </c>
      <c r="N137" s="42">
        <v>4</v>
      </c>
      <c r="O137" s="42" t="s">
        <v>1752</v>
      </c>
    </row>
    <row r="138" spans="1:15" x14ac:dyDescent="0.35">
      <c r="A138" s="42">
        <v>1216</v>
      </c>
      <c r="B138" s="42" t="s">
        <v>175</v>
      </c>
      <c r="C138" s="42" t="s">
        <v>199</v>
      </c>
      <c r="D138" s="42" t="s">
        <v>176</v>
      </c>
      <c r="E138" s="42" t="s">
        <v>206</v>
      </c>
      <c r="F138" s="42" t="s">
        <v>200</v>
      </c>
      <c r="G138" s="42">
        <v>10</v>
      </c>
      <c r="H138" s="42"/>
      <c r="I138" s="42">
        <v>10</v>
      </c>
      <c r="J138" s="42"/>
      <c r="K138" s="42">
        <v>10</v>
      </c>
      <c r="L138" s="42">
        <v>10</v>
      </c>
      <c r="M138" s="42">
        <v>10</v>
      </c>
      <c r="N138" s="42">
        <v>10</v>
      </c>
      <c r="O138" s="42"/>
    </row>
    <row r="139" spans="1:15" x14ac:dyDescent="0.35">
      <c r="A139" s="42">
        <v>1217</v>
      </c>
      <c r="B139" s="42" t="s">
        <v>136</v>
      </c>
      <c r="C139" s="42" t="s">
        <v>137</v>
      </c>
      <c r="D139" s="42" t="s">
        <v>176</v>
      </c>
      <c r="E139" s="42" t="s">
        <v>206</v>
      </c>
      <c r="F139" s="42" t="s">
        <v>200</v>
      </c>
      <c r="G139" s="42">
        <v>8</v>
      </c>
      <c r="H139" s="42">
        <v>10</v>
      </c>
      <c r="I139" s="42">
        <v>8</v>
      </c>
      <c r="J139" s="42"/>
      <c r="K139" s="42"/>
      <c r="L139" s="42"/>
      <c r="M139" s="42">
        <v>10</v>
      </c>
      <c r="N139" s="42">
        <v>7</v>
      </c>
      <c r="O139" s="42"/>
    </row>
    <row r="140" spans="1:15" x14ac:dyDescent="0.35">
      <c r="A140" s="42">
        <v>1056</v>
      </c>
      <c r="B140" s="42" t="s">
        <v>175</v>
      </c>
      <c r="C140" s="42" t="s">
        <v>137</v>
      </c>
      <c r="D140" s="42" t="s">
        <v>176</v>
      </c>
      <c r="E140" s="42" t="s">
        <v>160</v>
      </c>
      <c r="F140" s="42" t="s">
        <v>141</v>
      </c>
      <c r="G140" s="42">
        <v>2</v>
      </c>
      <c r="H140" s="42"/>
      <c r="I140" s="42">
        <v>2</v>
      </c>
      <c r="J140" s="42"/>
      <c r="K140" s="42">
        <v>4</v>
      </c>
      <c r="L140" s="42">
        <v>8</v>
      </c>
      <c r="M140" s="42">
        <v>6</v>
      </c>
      <c r="N140" s="42">
        <v>3</v>
      </c>
      <c r="O140" s="42"/>
    </row>
    <row r="141" spans="1:15" x14ac:dyDescent="0.35">
      <c r="A141" s="42">
        <v>1223</v>
      </c>
      <c r="B141" s="42" t="s">
        <v>136</v>
      </c>
      <c r="C141" s="42" t="s">
        <v>137</v>
      </c>
      <c r="D141" s="42" t="s">
        <v>219</v>
      </c>
      <c r="E141" s="42" t="s">
        <v>140</v>
      </c>
      <c r="F141" s="42" t="s">
        <v>141</v>
      </c>
      <c r="G141" s="42">
        <v>5</v>
      </c>
      <c r="H141" s="42">
        <v>10</v>
      </c>
      <c r="I141" s="42">
        <v>7</v>
      </c>
      <c r="J141" s="42">
        <v>5</v>
      </c>
      <c r="K141" s="42">
        <v>8</v>
      </c>
      <c r="L141" s="42">
        <v>8</v>
      </c>
      <c r="M141" s="42">
        <v>9</v>
      </c>
      <c r="N141" s="42">
        <v>7</v>
      </c>
      <c r="O141" s="42"/>
    </row>
    <row r="142" spans="1:15" x14ac:dyDescent="0.35">
      <c r="A142" s="42">
        <v>1227</v>
      </c>
      <c r="B142" s="42" t="s">
        <v>175</v>
      </c>
      <c r="C142" s="42" t="s">
        <v>137</v>
      </c>
      <c r="D142" s="42" t="s">
        <v>176</v>
      </c>
      <c r="E142" s="42" t="s">
        <v>206</v>
      </c>
      <c r="F142" s="42" t="s">
        <v>141</v>
      </c>
      <c r="G142" s="42">
        <v>10</v>
      </c>
      <c r="H142" s="42"/>
      <c r="I142" s="42"/>
      <c r="J142" s="42"/>
      <c r="K142" s="42">
        <v>10</v>
      </c>
      <c r="L142" s="42">
        <v>9</v>
      </c>
      <c r="M142" s="42">
        <v>10</v>
      </c>
      <c r="N142" s="42">
        <v>10</v>
      </c>
      <c r="O142" s="42"/>
    </row>
    <row r="143" spans="1:15" x14ac:dyDescent="0.35">
      <c r="A143" s="42">
        <v>1230</v>
      </c>
      <c r="B143" s="42" t="s">
        <v>136</v>
      </c>
      <c r="C143" s="42" t="s">
        <v>199</v>
      </c>
      <c r="D143" s="42" t="s">
        <v>138</v>
      </c>
      <c r="E143" s="42" t="s">
        <v>140</v>
      </c>
      <c r="F143" s="42" t="s">
        <v>141</v>
      </c>
      <c r="G143" s="42">
        <v>1</v>
      </c>
      <c r="H143" s="42"/>
      <c r="I143" s="42">
        <v>1</v>
      </c>
      <c r="J143" s="42"/>
      <c r="K143" s="42">
        <v>1</v>
      </c>
      <c r="L143" s="42">
        <v>1</v>
      </c>
      <c r="M143" s="42">
        <v>8</v>
      </c>
      <c r="N143" s="42">
        <v>1</v>
      </c>
      <c r="O143" s="42"/>
    </row>
    <row r="144" spans="1:15" x14ac:dyDescent="0.35">
      <c r="A144" s="42">
        <v>1232</v>
      </c>
      <c r="B144" s="42" t="s">
        <v>136</v>
      </c>
      <c r="C144" s="42" t="s">
        <v>199</v>
      </c>
      <c r="D144" s="42" t="s">
        <v>219</v>
      </c>
      <c r="E144" s="42" t="s">
        <v>206</v>
      </c>
      <c r="F144" s="42" t="s">
        <v>141</v>
      </c>
      <c r="G144" s="42">
        <v>10</v>
      </c>
      <c r="H144" s="42">
        <v>10</v>
      </c>
      <c r="I144" s="42">
        <v>8</v>
      </c>
      <c r="J144" s="42"/>
      <c r="K144" s="42">
        <v>10</v>
      </c>
      <c r="L144" s="42"/>
      <c r="M144" s="42">
        <v>9</v>
      </c>
      <c r="N144" s="42">
        <v>5</v>
      </c>
      <c r="O144" s="42" t="s">
        <v>1753</v>
      </c>
    </row>
    <row r="145" spans="1:15" x14ac:dyDescent="0.35">
      <c r="A145" s="42">
        <v>1233</v>
      </c>
      <c r="B145" s="42" t="s">
        <v>136</v>
      </c>
      <c r="C145" s="42" t="s">
        <v>137</v>
      </c>
      <c r="D145" s="42" t="s">
        <v>219</v>
      </c>
      <c r="E145" s="42" t="s">
        <v>140</v>
      </c>
      <c r="F145" s="42" t="s">
        <v>141</v>
      </c>
      <c r="G145" s="42">
        <v>8</v>
      </c>
      <c r="H145" s="42"/>
      <c r="I145" s="42">
        <v>7</v>
      </c>
      <c r="J145" s="42">
        <v>6</v>
      </c>
      <c r="K145" s="42">
        <v>7</v>
      </c>
      <c r="L145" s="42">
        <v>7</v>
      </c>
      <c r="M145" s="42"/>
      <c r="N145" s="42">
        <v>8</v>
      </c>
      <c r="O145" s="42"/>
    </row>
    <row r="146" spans="1:15" x14ac:dyDescent="0.35">
      <c r="A146" s="42">
        <v>793</v>
      </c>
      <c r="B146" s="42" t="s">
        <v>136</v>
      </c>
      <c r="C146" s="42" t="s">
        <v>137</v>
      </c>
      <c r="D146" s="42" t="s">
        <v>159</v>
      </c>
      <c r="E146" s="42" t="s">
        <v>160</v>
      </c>
      <c r="F146" s="42" t="s">
        <v>141</v>
      </c>
      <c r="G146" s="42">
        <v>8</v>
      </c>
      <c r="H146" s="42"/>
      <c r="I146" s="42">
        <v>8</v>
      </c>
      <c r="J146" s="42"/>
      <c r="K146" s="42"/>
      <c r="L146" s="42">
        <v>8</v>
      </c>
      <c r="M146" s="42"/>
      <c r="N146" s="42">
        <v>10</v>
      </c>
      <c r="O146" s="42" t="s">
        <v>1754</v>
      </c>
    </row>
    <row r="147" spans="1:15" x14ac:dyDescent="0.35">
      <c r="A147" s="42">
        <v>1242</v>
      </c>
      <c r="B147" s="42" t="s">
        <v>175</v>
      </c>
      <c r="C147" s="42" t="s">
        <v>199</v>
      </c>
      <c r="D147" s="42" t="s">
        <v>159</v>
      </c>
      <c r="E147" s="42" t="s">
        <v>140</v>
      </c>
      <c r="F147" s="42" t="s">
        <v>141</v>
      </c>
      <c r="G147" s="42">
        <v>6</v>
      </c>
      <c r="H147" s="42"/>
      <c r="I147" s="42"/>
      <c r="J147" s="42"/>
      <c r="K147" s="42"/>
      <c r="L147" s="42"/>
      <c r="M147" s="42">
        <v>8</v>
      </c>
      <c r="N147" s="42">
        <v>8</v>
      </c>
      <c r="O147" s="42"/>
    </row>
    <row r="148" spans="1:15" x14ac:dyDescent="0.35">
      <c r="A148" s="42">
        <v>1245</v>
      </c>
      <c r="B148" s="42" t="s">
        <v>136</v>
      </c>
      <c r="C148" s="42" t="s">
        <v>199</v>
      </c>
      <c r="D148" s="42" t="s">
        <v>176</v>
      </c>
      <c r="E148" s="42" t="s">
        <v>206</v>
      </c>
      <c r="F148" s="42" t="s">
        <v>200</v>
      </c>
      <c r="G148" s="42">
        <v>6</v>
      </c>
      <c r="H148" s="42">
        <v>7</v>
      </c>
      <c r="I148" s="42"/>
      <c r="J148" s="42">
        <v>2</v>
      </c>
      <c r="K148" s="42">
        <v>6</v>
      </c>
      <c r="L148" s="42">
        <v>3</v>
      </c>
      <c r="M148" s="42">
        <v>7</v>
      </c>
      <c r="N148" s="42">
        <v>6</v>
      </c>
      <c r="O148" s="42"/>
    </row>
    <row r="149" spans="1:15" x14ac:dyDescent="0.35">
      <c r="A149" s="42">
        <v>1249</v>
      </c>
      <c r="B149" s="42" t="s">
        <v>136</v>
      </c>
      <c r="C149" s="42" t="s">
        <v>137</v>
      </c>
      <c r="D149" s="42" t="s">
        <v>219</v>
      </c>
      <c r="E149" s="42" t="s">
        <v>140</v>
      </c>
      <c r="F149" s="42" t="s">
        <v>141</v>
      </c>
      <c r="G149" s="42">
        <v>9</v>
      </c>
      <c r="H149" s="42">
        <v>10</v>
      </c>
      <c r="I149" s="42">
        <v>10</v>
      </c>
      <c r="J149" s="42">
        <v>7</v>
      </c>
      <c r="K149" s="42">
        <v>8</v>
      </c>
      <c r="L149" s="42">
        <v>9</v>
      </c>
      <c r="M149" s="42">
        <v>10</v>
      </c>
      <c r="N149" s="42">
        <v>10</v>
      </c>
      <c r="O149" s="42"/>
    </row>
    <row r="150" spans="1:15" x14ac:dyDescent="0.35">
      <c r="A150" s="42">
        <v>808</v>
      </c>
      <c r="B150" s="42" t="s">
        <v>136</v>
      </c>
      <c r="C150" s="42" t="s">
        <v>199</v>
      </c>
      <c r="D150" s="42" t="s">
        <v>159</v>
      </c>
      <c r="E150" s="42" t="s">
        <v>160</v>
      </c>
      <c r="F150" s="42" t="s">
        <v>141</v>
      </c>
      <c r="G150" s="42">
        <v>8</v>
      </c>
      <c r="H150" s="42"/>
      <c r="I150" s="42"/>
      <c r="J150" s="42"/>
      <c r="K150" s="42"/>
      <c r="L150" s="42"/>
      <c r="M150" s="42">
        <v>6</v>
      </c>
      <c r="N150" s="42">
        <v>10</v>
      </c>
      <c r="O150" s="42"/>
    </row>
    <row r="151" spans="1:15" x14ac:dyDescent="0.35">
      <c r="A151" s="42">
        <v>1255</v>
      </c>
      <c r="B151" s="42" t="s">
        <v>136</v>
      </c>
      <c r="C151" s="42" t="s">
        <v>137</v>
      </c>
      <c r="D151" s="42" t="s">
        <v>219</v>
      </c>
      <c r="E151" s="42" t="s">
        <v>206</v>
      </c>
      <c r="F151" s="42" t="s">
        <v>141</v>
      </c>
      <c r="G151" s="42">
        <v>10</v>
      </c>
      <c r="H151" s="42">
        <v>8</v>
      </c>
      <c r="I151" s="42">
        <v>8</v>
      </c>
      <c r="J151" s="42"/>
      <c r="K151" s="42"/>
      <c r="L151" s="42">
        <v>10</v>
      </c>
      <c r="M151" s="42">
        <v>10</v>
      </c>
      <c r="N151" s="42">
        <v>10</v>
      </c>
      <c r="O151" s="42"/>
    </row>
    <row r="152" spans="1:15" x14ac:dyDescent="0.35">
      <c r="A152" s="42">
        <v>835</v>
      </c>
      <c r="B152" s="42" t="s">
        <v>136</v>
      </c>
      <c r="C152" s="42" t="s">
        <v>199</v>
      </c>
      <c r="D152" s="42" t="s">
        <v>138</v>
      </c>
      <c r="E152" s="42" t="s">
        <v>160</v>
      </c>
      <c r="F152" s="42" t="s">
        <v>141</v>
      </c>
      <c r="G152" s="42">
        <v>9</v>
      </c>
      <c r="H152" s="42"/>
      <c r="I152" s="42"/>
      <c r="J152" s="42">
        <v>9</v>
      </c>
      <c r="K152" s="42">
        <v>6</v>
      </c>
      <c r="L152" s="42">
        <v>9</v>
      </c>
      <c r="M152" s="42">
        <v>8</v>
      </c>
      <c r="N152" s="42">
        <v>10</v>
      </c>
      <c r="O152" s="42"/>
    </row>
    <row r="153" spans="1:15" x14ac:dyDescent="0.35">
      <c r="A153" s="42">
        <v>836</v>
      </c>
      <c r="B153" s="42" t="s">
        <v>136</v>
      </c>
      <c r="C153" s="42" t="s">
        <v>137</v>
      </c>
      <c r="D153" s="42" t="s">
        <v>176</v>
      </c>
      <c r="E153" s="42" t="s">
        <v>160</v>
      </c>
      <c r="F153" s="42" t="s">
        <v>141</v>
      </c>
      <c r="G153" s="42">
        <v>8</v>
      </c>
      <c r="H153" s="42">
        <v>8</v>
      </c>
      <c r="I153" s="42">
        <v>7</v>
      </c>
      <c r="J153" s="42"/>
      <c r="K153" s="42">
        <v>5</v>
      </c>
      <c r="L153" s="42">
        <v>8</v>
      </c>
      <c r="M153" s="42">
        <v>8</v>
      </c>
      <c r="N153" s="42">
        <v>10</v>
      </c>
      <c r="O153" s="42"/>
    </row>
    <row r="154" spans="1:15" x14ac:dyDescent="0.35">
      <c r="A154" s="42">
        <v>1262</v>
      </c>
      <c r="B154" s="42" t="s">
        <v>136</v>
      </c>
      <c r="C154" s="42" t="s">
        <v>137</v>
      </c>
      <c r="D154" s="42" t="s">
        <v>159</v>
      </c>
      <c r="E154" s="42" t="s">
        <v>140</v>
      </c>
      <c r="F154" s="42" t="s">
        <v>141</v>
      </c>
      <c r="G154" s="42">
        <v>5</v>
      </c>
      <c r="H154" s="42"/>
      <c r="I154" s="42">
        <v>7</v>
      </c>
      <c r="J154" s="42">
        <v>6</v>
      </c>
      <c r="K154" s="42">
        <v>4</v>
      </c>
      <c r="L154" s="42">
        <v>3</v>
      </c>
      <c r="M154" s="42">
        <v>9</v>
      </c>
      <c r="N154" s="42">
        <v>3</v>
      </c>
      <c r="O154" s="42"/>
    </row>
    <row r="155" spans="1:15" x14ac:dyDescent="0.35">
      <c r="A155" s="42">
        <v>1266</v>
      </c>
      <c r="B155" s="42" t="s">
        <v>136</v>
      </c>
      <c r="C155" s="42" t="s">
        <v>199</v>
      </c>
      <c r="D155" s="42" t="s">
        <v>159</v>
      </c>
      <c r="E155" s="42" t="s">
        <v>140</v>
      </c>
      <c r="F155" s="42" t="s">
        <v>141</v>
      </c>
      <c r="G155" s="42">
        <v>4</v>
      </c>
      <c r="H155" s="42">
        <v>9</v>
      </c>
      <c r="I155" s="42">
        <v>7</v>
      </c>
      <c r="J155" s="42">
        <v>9</v>
      </c>
      <c r="K155" s="42"/>
      <c r="L155" s="42">
        <v>2</v>
      </c>
      <c r="M155" s="42">
        <v>8</v>
      </c>
      <c r="N155" s="42">
        <v>6</v>
      </c>
      <c r="O155" s="42"/>
    </row>
    <row r="156" spans="1:15" x14ac:dyDescent="0.35">
      <c r="A156" s="42">
        <v>857</v>
      </c>
      <c r="B156" s="42" t="s">
        <v>175</v>
      </c>
      <c r="C156" s="42" t="s">
        <v>137</v>
      </c>
      <c r="D156" s="42" t="s">
        <v>159</v>
      </c>
      <c r="E156" s="42" t="s">
        <v>160</v>
      </c>
      <c r="F156" s="42" t="s">
        <v>141</v>
      </c>
      <c r="G156" s="42">
        <v>5</v>
      </c>
      <c r="H156" s="42"/>
      <c r="I156" s="42"/>
      <c r="J156" s="42">
        <v>6</v>
      </c>
      <c r="K156" s="42"/>
      <c r="L156" s="42"/>
      <c r="M156" s="42">
        <v>8</v>
      </c>
      <c r="N156" s="42">
        <v>10</v>
      </c>
      <c r="O156" s="42"/>
    </row>
    <row r="157" spans="1:15" x14ac:dyDescent="0.35">
      <c r="A157" s="42">
        <v>1274</v>
      </c>
      <c r="B157" s="42" t="s">
        <v>175</v>
      </c>
      <c r="C157" s="42" t="s">
        <v>137</v>
      </c>
      <c r="D157" s="42" t="s">
        <v>138</v>
      </c>
      <c r="E157" s="42" t="s">
        <v>140</v>
      </c>
      <c r="F157" s="42" t="s">
        <v>141</v>
      </c>
      <c r="G157" s="42">
        <v>7</v>
      </c>
      <c r="H157" s="42"/>
      <c r="I157" s="42">
        <v>7</v>
      </c>
      <c r="J157" s="42"/>
      <c r="K157" s="42">
        <v>7</v>
      </c>
      <c r="L157" s="42">
        <v>8</v>
      </c>
      <c r="M157" s="42">
        <v>8</v>
      </c>
      <c r="N157" s="42">
        <v>10</v>
      </c>
      <c r="O157" s="42"/>
    </row>
    <row r="158" spans="1:15" x14ac:dyDescent="0.35">
      <c r="A158" s="42">
        <v>1277</v>
      </c>
      <c r="B158" s="42" t="s">
        <v>136</v>
      </c>
      <c r="C158" s="42" t="s">
        <v>137</v>
      </c>
      <c r="D158" s="42" t="s">
        <v>159</v>
      </c>
      <c r="E158" s="42" t="s">
        <v>140</v>
      </c>
      <c r="F158" s="42" t="s">
        <v>141</v>
      </c>
      <c r="G158" s="42">
        <v>6</v>
      </c>
      <c r="H158" s="42">
        <v>8</v>
      </c>
      <c r="I158" s="42">
        <v>7</v>
      </c>
      <c r="J158" s="42">
        <v>7</v>
      </c>
      <c r="K158" s="42">
        <v>5</v>
      </c>
      <c r="L158" s="42">
        <v>8</v>
      </c>
      <c r="M158" s="42">
        <v>8</v>
      </c>
      <c r="N158" s="42">
        <v>7</v>
      </c>
      <c r="O158" s="42" t="s">
        <v>1754</v>
      </c>
    </row>
    <row r="159" spans="1:15" x14ac:dyDescent="0.35">
      <c r="A159" s="42">
        <v>872</v>
      </c>
      <c r="B159" s="42" t="s">
        <v>136</v>
      </c>
      <c r="C159" s="42" t="s">
        <v>199</v>
      </c>
      <c r="D159" s="42" t="s">
        <v>159</v>
      </c>
      <c r="E159" s="42" t="s">
        <v>160</v>
      </c>
      <c r="F159" s="42" t="s">
        <v>141</v>
      </c>
      <c r="G159" s="42">
        <v>9</v>
      </c>
      <c r="H159" s="42"/>
      <c r="I159" s="42">
        <v>9</v>
      </c>
      <c r="J159" s="42">
        <v>7</v>
      </c>
      <c r="K159" s="42"/>
      <c r="L159" s="42"/>
      <c r="M159" s="42">
        <v>9</v>
      </c>
      <c r="N159" s="42">
        <v>10</v>
      </c>
      <c r="O159" s="42"/>
    </row>
    <row r="160" spans="1:15" x14ac:dyDescent="0.35">
      <c r="A160" s="42">
        <v>1279</v>
      </c>
      <c r="B160" s="42" t="s">
        <v>136</v>
      </c>
      <c r="C160" s="42" t="s">
        <v>137</v>
      </c>
      <c r="D160" s="42" t="s">
        <v>176</v>
      </c>
      <c r="E160" s="42" t="s">
        <v>206</v>
      </c>
      <c r="F160" s="42" t="s">
        <v>141</v>
      </c>
      <c r="G160" s="42">
        <v>5</v>
      </c>
      <c r="H160" s="42">
        <v>2</v>
      </c>
      <c r="I160" s="42">
        <v>7</v>
      </c>
      <c r="J160" s="42"/>
      <c r="K160" s="42">
        <v>3</v>
      </c>
      <c r="L160" s="42"/>
      <c r="M160" s="42">
        <v>5</v>
      </c>
      <c r="N160" s="42">
        <v>6</v>
      </c>
      <c r="O160" s="42" t="s">
        <v>1752</v>
      </c>
    </row>
    <row r="161" spans="1:15" x14ac:dyDescent="0.35">
      <c r="A161" s="42">
        <v>877</v>
      </c>
      <c r="B161" s="42" t="s">
        <v>136</v>
      </c>
      <c r="C161" s="42" t="s">
        <v>199</v>
      </c>
      <c r="D161" s="42" t="s">
        <v>159</v>
      </c>
      <c r="E161" s="42" t="s">
        <v>160</v>
      </c>
      <c r="F161" s="42" t="s">
        <v>141</v>
      </c>
      <c r="G161" s="42">
        <v>8</v>
      </c>
      <c r="H161" s="42"/>
      <c r="I161" s="42"/>
      <c r="J161" s="42"/>
      <c r="K161" s="42"/>
      <c r="L161" s="42"/>
      <c r="M161" s="42">
        <v>8</v>
      </c>
      <c r="N161" s="42">
        <v>10</v>
      </c>
      <c r="O161" s="42"/>
    </row>
    <row r="162" spans="1:15" x14ac:dyDescent="0.35">
      <c r="A162" s="42">
        <v>1283</v>
      </c>
      <c r="B162" s="42" t="s">
        <v>136</v>
      </c>
      <c r="C162" s="42" t="s">
        <v>199</v>
      </c>
      <c r="D162" s="42" t="s">
        <v>176</v>
      </c>
      <c r="E162" s="42" t="s">
        <v>140</v>
      </c>
      <c r="F162" s="42" t="s">
        <v>141</v>
      </c>
      <c r="G162" s="42">
        <v>8</v>
      </c>
      <c r="H162" s="42"/>
      <c r="I162" s="42">
        <v>8</v>
      </c>
      <c r="J162" s="42">
        <v>7</v>
      </c>
      <c r="K162" s="42">
        <v>6</v>
      </c>
      <c r="L162" s="42">
        <v>8</v>
      </c>
      <c r="M162" s="42">
        <v>7</v>
      </c>
      <c r="N162" s="42">
        <v>9</v>
      </c>
      <c r="O162" s="42" t="s">
        <v>1754</v>
      </c>
    </row>
    <row r="163" spans="1:15" x14ac:dyDescent="0.35">
      <c r="A163" s="42">
        <v>1285</v>
      </c>
      <c r="B163" s="42" t="s">
        <v>136</v>
      </c>
      <c r="C163" s="42" t="s">
        <v>199</v>
      </c>
      <c r="D163" s="42" t="s">
        <v>159</v>
      </c>
      <c r="E163" s="42" t="s">
        <v>140</v>
      </c>
      <c r="F163" s="42" t="s">
        <v>141</v>
      </c>
      <c r="G163" s="42">
        <v>7</v>
      </c>
      <c r="H163" s="42">
        <v>8</v>
      </c>
      <c r="I163" s="42">
        <v>3</v>
      </c>
      <c r="J163" s="42">
        <v>8</v>
      </c>
      <c r="K163" s="42">
        <v>8</v>
      </c>
      <c r="L163" s="42">
        <v>8</v>
      </c>
      <c r="M163" s="42">
        <v>8</v>
      </c>
      <c r="N163" s="42">
        <v>5</v>
      </c>
      <c r="O163" s="42"/>
    </row>
    <row r="164" spans="1:15" x14ac:dyDescent="0.35">
      <c r="A164" s="42">
        <v>1298</v>
      </c>
      <c r="B164" s="42" t="s">
        <v>175</v>
      </c>
      <c r="C164" s="42" t="s">
        <v>199</v>
      </c>
      <c r="D164" s="42" t="s">
        <v>176</v>
      </c>
      <c r="E164" s="42" t="s">
        <v>140</v>
      </c>
      <c r="F164" s="42" t="s">
        <v>141</v>
      </c>
      <c r="G164" s="42">
        <v>7</v>
      </c>
      <c r="H164" s="42">
        <v>7</v>
      </c>
      <c r="I164" s="42">
        <v>6</v>
      </c>
      <c r="J164" s="42"/>
      <c r="K164" s="42">
        <v>6</v>
      </c>
      <c r="L164" s="42">
        <v>8</v>
      </c>
      <c r="M164" s="42">
        <v>6</v>
      </c>
      <c r="N164" s="42">
        <v>8</v>
      </c>
      <c r="O164" s="42"/>
    </row>
    <row r="165" spans="1:15" x14ac:dyDescent="0.35">
      <c r="A165" s="42">
        <v>1300</v>
      </c>
      <c r="B165" s="42" t="s">
        <v>136</v>
      </c>
      <c r="C165" s="42" t="s">
        <v>137</v>
      </c>
      <c r="D165" s="42" t="s">
        <v>176</v>
      </c>
      <c r="E165" s="42" t="s">
        <v>140</v>
      </c>
      <c r="F165" s="42" t="s">
        <v>141</v>
      </c>
      <c r="G165" s="42">
        <v>1</v>
      </c>
      <c r="H165" s="42">
        <v>10</v>
      </c>
      <c r="I165" s="42"/>
      <c r="J165" s="42">
        <v>7</v>
      </c>
      <c r="K165" s="42">
        <v>4</v>
      </c>
      <c r="L165" s="42">
        <v>1</v>
      </c>
      <c r="M165" s="42">
        <v>8</v>
      </c>
      <c r="N165" s="42">
        <v>3</v>
      </c>
      <c r="O165" s="42"/>
    </row>
    <row r="166" spans="1:15" x14ac:dyDescent="0.35">
      <c r="A166" s="42">
        <v>932</v>
      </c>
      <c r="B166" s="42" t="s">
        <v>136</v>
      </c>
      <c r="C166" s="42" t="s">
        <v>137</v>
      </c>
      <c r="D166" s="42" t="s">
        <v>159</v>
      </c>
      <c r="E166" s="42" t="s">
        <v>160</v>
      </c>
      <c r="F166" s="42" t="s">
        <v>141</v>
      </c>
      <c r="G166" s="42">
        <v>7</v>
      </c>
      <c r="H166" s="42">
        <v>8</v>
      </c>
      <c r="I166" s="42">
        <v>7</v>
      </c>
      <c r="J166" s="42"/>
      <c r="K166" s="42">
        <v>5</v>
      </c>
      <c r="L166" s="42">
        <v>7</v>
      </c>
      <c r="M166" s="42">
        <v>10</v>
      </c>
      <c r="N166" s="42">
        <v>10</v>
      </c>
      <c r="O166" s="42"/>
    </row>
    <row r="167" spans="1:15" x14ac:dyDescent="0.35">
      <c r="A167" s="42">
        <v>1003</v>
      </c>
      <c r="B167" s="42" t="s">
        <v>175</v>
      </c>
      <c r="C167" s="42" t="s">
        <v>199</v>
      </c>
      <c r="D167" s="42" t="s">
        <v>176</v>
      </c>
      <c r="E167" s="42" t="s">
        <v>160</v>
      </c>
      <c r="F167" s="42" t="s">
        <v>141</v>
      </c>
      <c r="G167" s="42">
        <v>8</v>
      </c>
      <c r="H167" s="42"/>
      <c r="I167" s="42"/>
      <c r="J167" s="42"/>
      <c r="K167" s="42">
        <v>7</v>
      </c>
      <c r="L167" s="42">
        <v>7</v>
      </c>
      <c r="M167" s="42">
        <v>8</v>
      </c>
      <c r="N167" s="42">
        <v>10</v>
      </c>
      <c r="O167" s="42"/>
    </row>
    <row r="168" spans="1:15" x14ac:dyDescent="0.35">
      <c r="A168" s="42">
        <v>1305</v>
      </c>
      <c r="B168" s="42" t="s">
        <v>136</v>
      </c>
      <c r="C168" s="42" t="s">
        <v>137</v>
      </c>
      <c r="D168" s="42" t="s">
        <v>159</v>
      </c>
      <c r="E168" s="42" t="s">
        <v>140</v>
      </c>
      <c r="F168" s="42" t="s">
        <v>141</v>
      </c>
      <c r="G168" s="42">
        <v>7</v>
      </c>
      <c r="H168" s="42"/>
      <c r="I168" s="42">
        <v>8</v>
      </c>
      <c r="J168" s="42">
        <v>6</v>
      </c>
      <c r="K168" s="42">
        <v>8</v>
      </c>
      <c r="L168" s="42">
        <v>8</v>
      </c>
      <c r="M168" s="42"/>
      <c r="N168" s="42">
        <v>8</v>
      </c>
      <c r="O168" s="42" t="s">
        <v>1754</v>
      </c>
    </row>
    <row r="169" spans="1:15" x14ac:dyDescent="0.35">
      <c r="A169" s="42">
        <v>1070</v>
      </c>
      <c r="B169" s="42" t="s">
        <v>136</v>
      </c>
      <c r="C169" s="42" t="s">
        <v>137</v>
      </c>
      <c r="D169" s="42" t="s">
        <v>176</v>
      </c>
      <c r="E169" s="42" t="s">
        <v>160</v>
      </c>
      <c r="F169" s="42" t="s">
        <v>141</v>
      </c>
      <c r="G169" s="42">
        <v>9</v>
      </c>
      <c r="H169" s="42">
        <v>10</v>
      </c>
      <c r="I169" s="42"/>
      <c r="J169" s="42"/>
      <c r="K169" s="42"/>
      <c r="L169" s="42"/>
      <c r="M169" s="42">
        <v>7</v>
      </c>
      <c r="N169" s="42">
        <v>10</v>
      </c>
      <c r="O169" s="42"/>
    </row>
    <row r="170" spans="1:15" x14ac:dyDescent="0.35">
      <c r="A170" s="42">
        <v>1082</v>
      </c>
      <c r="B170" s="42" t="s">
        <v>136</v>
      </c>
      <c r="C170" s="42" t="s">
        <v>199</v>
      </c>
      <c r="D170" s="42" t="s">
        <v>159</v>
      </c>
      <c r="E170" s="42" t="s">
        <v>160</v>
      </c>
      <c r="F170" s="42" t="s">
        <v>141</v>
      </c>
      <c r="G170" s="42">
        <v>7</v>
      </c>
      <c r="H170" s="42">
        <v>9</v>
      </c>
      <c r="I170" s="42"/>
      <c r="J170" s="42"/>
      <c r="K170" s="42">
        <v>5</v>
      </c>
      <c r="L170" s="42">
        <v>7</v>
      </c>
      <c r="M170" s="42">
        <v>9</v>
      </c>
      <c r="N170" s="42">
        <v>10</v>
      </c>
      <c r="O170" s="42"/>
    </row>
    <row r="171" spans="1:15" x14ac:dyDescent="0.35">
      <c r="A171" s="42">
        <v>1099</v>
      </c>
      <c r="B171" s="42" t="s">
        <v>175</v>
      </c>
      <c r="C171" s="42" t="s">
        <v>137</v>
      </c>
      <c r="D171" s="42" t="s">
        <v>159</v>
      </c>
      <c r="E171" s="42" t="s">
        <v>160</v>
      </c>
      <c r="F171" s="42" t="s">
        <v>141</v>
      </c>
      <c r="G171" s="42">
        <v>8</v>
      </c>
      <c r="H171" s="42"/>
      <c r="I171" s="42"/>
      <c r="J171" s="42"/>
      <c r="K171" s="42"/>
      <c r="L171" s="42">
        <v>9</v>
      </c>
      <c r="M171" s="42">
        <v>8</v>
      </c>
      <c r="N171" s="42">
        <v>10</v>
      </c>
      <c r="O171" s="42"/>
    </row>
    <row r="172" spans="1:15" x14ac:dyDescent="0.35">
      <c r="A172" s="42">
        <v>1320</v>
      </c>
      <c r="B172" s="42" t="s">
        <v>136</v>
      </c>
      <c r="C172" s="42" t="s">
        <v>199</v>
      </c>
      <c r="D172" s="42" t="s">
        <v>159</v>
      </c>
      <c r="E172" s="42" t="s">
        <v>206</v>
      </c>
      <c r="F172" s="42" t="s">
        <v>141</v>
      </c>
      <c r="G172" s="42">
        <v>8</v>
      </c>
      <c r="H172" s="42">
        <v>8</v>
      </c>
      <c r="I172" s="42">
        <v>7</v>
      </c>
      <c r="J172" s="42"/>
      <c r="K172" s="42">
        <v>5</v>
      </c>
      <c r="L172" s="42">
        <v>7</v>
      </c>
      <c r="M172" s="42">
        <v>7</v>
      </c>
      <c r="N172" s="42">
        <v>6</v>
      </c>
      <c r="O172" s="42" t="s">
        <v>1752</v>
      </c>
    </row>
    <row r="173" spans="1:15" x14ac:dyDescent="0.35">
      <c r="A173" s="42">
        <v>1177</v>
      </c>
      <c r="B173" s="42" t="s">
        <v>175</v>
      </c>
      <c r="C173" s="42" t="s">
        <v>137</v>
      </c>
      <c r="D173" s="42" t="s">
        <v>159</v>
      </c>
      <c r="E173" s="42" t="s">
        <v>160</v>
      </c>
      <c r="F173" s="42" t="s">
        <v>141</v>
      </c>
      <c r="G173" s="42">
        <v>9</v>
      </c>
      <c r="H173" s="42"/>
      <c r="I173" s="42">
        <v>10</v>
      </c>
      <c r="J173" s="42"/>
      <c r="K173" s="42">
        <v>8</v>
      </c>
      <c r="L173" s="42">
        <v>7</v>
      </c>
      <c r="M173" s="42">
        <v>10</v>
      </c>
      <c r="N173" s="42">
        <v>10</v>
      </c>
      <c r="O173" s="42" t="s">
        <v>1754</v>
      </c>
    </row>
    <row r="174" spans="1:15" x14ac:dyDescent="0.35">
      <c r="A174" s="42">
        <v>1186</v>
      </c>
      <c r="B174" s="42" t="s">
        <v>136</v>
      </c>
      <c r="C174" s="42" t="s">
        <v>137</v>
      </c>
      <c r="D174" s="42" t="s">
        <v>159</v>
      </c>
      <c r="E174" s="42" t="s">
        <v>160</v>
      </c>
      <c r="F174" s="42" t="s">
        <v>141</v>
      </c>
      <c r="G174" s="42">
        <v>10</v>
      </c>
      <c r="H174" s="42"/>
      <c r="I174" s="42">
        <v>10</v>
      </c>
      <c r="J174" s="42"/>
      <c r="K174" s="42"/>
      <c r="L174" s="42">
        <v>8</v>
      </c>
      <c r="M174" s="42">
        <v>10</v>
      </c>
      <c r="N174" s="42">
        <v>10</v>
      </c>
      <c r="O174" s="42" t="s">
        <v>1753</v>
      </c>
    </row>
    <row r="175" spans="1:15" x14ac:dyDescent="0.35">
      <c r="A175" s="42">
        <v>1328</v>
      </c>
      <c r="B175" s="42" t="s">
        <v>136</v>
      </c>
      <c r="C175" s="42" t="s">
        <v>199</v>
      </c>
      <c r="D175" s="42" t="s">
        <v>159</v>
      </c>
      <c r="E175" s="42" t="s">
        <v>140</v>
      </c>
      <c r="F175" s="42" t="s">
        <v>141</v>
      </c>
      <c r="G175" s="42">
        <v>7</v>
      </c>
      <c r="H175" s="42"/>
      <c r="I175" s="42"/>
      <c r="J175" s="42">
        <v>5</v>
      </c>
      <c r="K175" s="42">
        <v>9</v>
      </c>
      <c r="L175" s="42">
        <v>9</v>
      </c>
      <c r="M175" s="42">
        <v>8</v>
      </c>
      <c r="N175" s="42">
        <v>5</v>
      </c>
      <c r="O175" s="42"/>
    </row>
    <row r="176" spans="1:15" x14ac:dyDescent="0.35">
      <c r="A176" s="42">
        <v>1332</v>
      </c>
      <c r="B176" s="42" t="s">
        <v>136</v>
      </c>
      <c r="C176" s="42" t="s">
        <v>137</v>
      </c>
      <c r="D176" s="42" t="s">
        <v>176</v>
      </c>
      <c r="E176" s="42" t="s">
        <v>140</v>
      </c>
      <c r="F176" s="42" t="s">
        <v>141</v>
      </c>
      <c r="G176" s="42">
        <v>4</v>
      </c>
      <c r="H176" s="42"/>
      <c r="I176" s="42">
        <v>8</v>
      </c>
      <c r="J176" s="42">
        <v>7</v>
      </c>
      <c r="K176" s="42">
        <v>4</v>
      </c>
      <c r="L176" s="42">
        <v>8</v>
      </c>
      <c r="M176" s="42">
        <v>8</v>
      </c>
      <c r="N176" s="42">
        <v>6</v>
      </c>
      <c r="O176" s="42" t="s">
        <v>1753</v>
      </c>
    </row>
    <row r="177" spans="1:15" x14ac:dyDescent="0.35">
      <c r="A177" s="42">
        <v>1335</v>
      </c>
      <c r="B177" s="42" t="s">
        <v>136</v>
      </c>
      <c r="C177" s="42" t="s">
        <v>137</v>
      </c>
      <c r="D177" s="42" t="s">
        <v>219</v>
      </c>
      <c r="E177" s="42" t="s">
        <v>206</v>
      </c>
      <c r="F177" s="42" t="s">
        <v>141</v>
      </c>
      <c r="G177" s="42">
        <v>7</v>
      </c>
      <c r="H177" s="42">
        <v>8</v>
      </c>
      <c r="I177" s="42">
        <v>8</v>
      </c>
      <c r="J177" s="42"/>
      <c r="K177" s="42">
        <v>7</v>
      </c>
      <c r="L177" s="42">
        <v>7</v>
      </c>
      <c r="M177" s="42">
        <v>7</v>
      </c>
      <c r="N177" s="42">
        <v>10</v>
      </c>
      <c r="O177" s="42" t="s">
        <v>1754</v>
      </c>
    </row>
    <row r="178" spans="1:15" x14ac:dyDescent="0.35">
      <c r="A178" s="42">
        <v>1204</v>
      </c>
      <c r="B178" s="42" t="s">
        <v>136</v>
      </c>
      <c r="C178" s="42" t="s">
        <v>199</v>
      </c>
      <c r="D178" s="42" t="s">
        <v>159</v>
      </c>
      <c r="E178" s="42" t="s">
        <v>160</v>
      </c>
      <c r="F178" s="42" t="s">
        <v>141</v>
      </c>
      <c r="G178" s="42">
        <v>10</v>
      </c>
      <c r="H178" s="42">
        <v>10</v>
      </c>
      <c r="I178" s="42">
        <v>9</v>
      </c>
      <c r="J178" s="42">
        <v>10</v>
      </c>
      <c r="K178" s="42"/>
      <c r="L178" s="42">
        <v>9</v>
      </c>
      <c r="M178" s="42">
        <v>8</v>
      </c>
      <c r="N178" s="42">
        <v>10</v>
      </c>
      <c r="O178" s="42"/>
    </row>
    <row r="179" spans="1:15" x14ac:dyDescent="0.35">
      <c r="A179" s="42">
        <v>1307</v>
      </c>
      <c r="B179" s="42" t="s">
        <v>136</v>
      </c>
      <c r="C179" s="42" t="s">
        <v>199</v>
      </c>
      <c r="D179" s="42" t="s">
        <v>159</v>
      </c>
      <c r="E179" s="42" t="s">
        <v>160</v>
      </c>
      <c r="F179" s="42" t="s">
        <v>141</v>
      </c>
      <c r="G179" s="42">
        <v>8</v>
      </c>
      <c r="H179" s="42"/>
      <c r="I179" s="42"/>
      <c r="J179" s="42"/>
      <c r="K179" s="42"/>
      <c r="L179" s="42"/>
      <c r="M179" s="42">
        <v>9</v>
      </c>
      <c r="N179" s="42">
        <v>10</v>
      </c>
      <c r="O179" s="42"/>
    </row>
    <row r="180" spans="1:15" x14ac:dyDescent="0.35">
      <c r="A180" s="42">
        <v>1351</v>
      </c>
      <c r="B180" s="42" t="s">
        <v>175</v>
      </c>
      <c r="C180" s="42" t="s">
        <v>199</v>
      </c>
      <c r="D180" s="42" t="s">
        <v>176</v>
      </c>
      <c r="E180" s="42" t="s">
        <v>160</v>
      </c>
      <c r="F180" s="42" t="s">
        <v>141</v>
      </c>
      <c r="G180" s="42">
        <v>10</v>
      </c>
      <c r="H180" s="42"/>
      <c r="I180" s="42">
        <v>8</v>
      </c>
      <c r="J180" s="42"/>
      <c r="K180" s="42"/>
      <c r="L180" s="42"/>
      <c r="M180" s="42">
        <v>10</v>
      </c>
      <c r="N180" s="42">
        <v>10</v>
      </c>
      <c r="O180" s="42" t="s">
        <v>1753</v>
      </c>
    </row>
    <row r="181" spans="1:15" x14ac:dyDescent="0.35">
      <c r="A181" s="42">
        <v>1342</v>
      </c>
      <c r="B181" s="42" t="s">
        <v>136</v>
      </c>
      <c r="C181" s="42" t="s">
        <v>137</v>
      </c>
      <c r="D181" s="42" t="s">
        <v>138</v>
      </c>
      <c r="E181" s="42" t="s">
        <v>140</v>
      </c>
      <c r="F181" s="42" t="s">
        <v>141</v>
      </c>
      <c r="G181" s="42">
        <v>8</v>
      </c>
      <c r="H181" s="42">
        <v>10</v>
      </c>
      <c r="I181" s="42">
        <v>7</v>
      </c>
      <c r="J181" s="42">
        <v>7</v>
      </c>
      <c r="K181" s="42">
        <v>8</v>
      </c>
      <c r="L181" s="42">
        <v>9</v>
      </c>
      <c r="M181" s="42">
        <v>10</v>
      </c>
      <c r="N181" s="42">
        <v>10</v>
      </c>
      <c r="O181" s="42"/>
    </row>
    <row r="182" spans="1:15" x14ac:dyDescent="0.35">
      <c r="A182" s="42">
        <v>1343</v>
      </c>
      <c r="B182" s="42" t="s">
        <v>136</v>
      </c>
      <c r="C182" s="42" t="s">
        <v>199</v>
      </c>
      <c r="D182" s="42" t="s">
        <v>219</v>
      </c>
      <c r="E182" s="42" t="s">
        <v>206</v>
      </c>
      <c r="F182" s="42" t="s">
        <v>141</v>
      </c>
      <c r="G182" s="42">
        <v>7</v>
      </c>
      <c r="H182" s="42">
        <v>9</v>
      </c>
      <c r="I182" s="42">
        <v>5</v>
      </c>
      <c r="J182" s="42"/>
      <c r="K182" s="42">
        <v>3</v>
      </c>
      <c r="L182" s="42">
        <v>4</v>
      </c>
      <c r="M182" s="42">
        <v>4</v>
      </c>
      <c r="N182" s="42">
        <v>7</v>
      </c>
      <c r="O182" s="42" t="s">
        <v>1753</v>
      </c>
    </row>
    <row r="183" spans="1:15" x14ac:dyDescent="0.35">
      <c r="A183" s="42">
        <v>1344</v>
      </c>
      <c r="B183" s="42" t="s">
        <v>175</v>
      </c>
      <c r="C183" s="42" t="s">
        <v>137</v>
      </c>
      <c r="D183" s="42" t="s">
        <v>138</v>
      </c>
      <c r="E183" s="42" t="s">
        <v>206</v>
      </c>
      <c r="F183" s="42" t="s">
        <v>141</v>
      </c>
      <c r="G183" s="42">
        <v>7</v>
      </c>
      <c r="H183" s="42">
        <v>9</v>
      </c>
      <c r="I183" s="42"/>
      <c r="J183" s="42"/>
      <c r="K183" s="42"/>
      <c r="L183" s="42">
        <v>10</v>
      </c>
      <c r="M183" s="42">
        <v>8</v>
      </c>
      <c r="N183" s="42">
        <v>8</v>
      </c>
      <c r="O183" s="42"/>
    </row>
    <row r="184" spans="1:15" x14ac:dyDescent="0.35">
      <c r="A184" s="42">
        <v>1361</v>
      </c>
      <c r="B184" s="42" t="s">
        <v>136</v>
      </c>
      <c r="C184" s="42" t="s">
        <v>199</v>
      </c>
      <c r="D184" s="42" t="s">
        <v>219</v>
      </c>
      <c r="E184" s="42" t="s">
        <v>160</v>
      </c>
      <c r="F184" s="42" t="s">
        <v>141</v>
      </c>
      <c r="G184" s="42">
        <v>9</v>
      </c>
      <c r="H184" s="42">
        <v>10</v>
      </c>
      <c r="I184" s="42">
        <v>8</v>
      </c>
      <c r="J184" s="42"/>
      <c r="K184" s="42">
        <v>10</v>
      </c>
      <c r="L184" s="42"/>
      <c r="M184" s="42">
        <v>10</v>
      </c>
      <c r="N184" s="42">
        <v>10</v>
      </c>
      <c r="O184" s="42" t="s">
        <v>1753</v>
      </c>
    </row>
    <row r="185" spans="1:15" x14ac:dyDescent="0.35">
      <c r="A185" s="42">
        <v>1354</v>
      </c>
      <c r="B185" s="42" t="s">
        <v>175</v>
      </c>
      <c r="C185" s="42" t="s">
        <v>199</v>
      </c>
      <c r="D185" s="42" t="s">
        <v>159</v>
      </c>
      <c r="E185" s="42" t="s">
        <v>206</v>
      </c>
      <c r="F185" s="42" t="s">
        <v>141</v>
      </c>
      <c r="G185" s="42">
        <v>9</v>
      </c>
      <c r="H185" s="42">
        <v>10</v>
      </c>
      <c r="I185" s="42">
        <v>8</v>
      </c>
      <c r="J185" s="42"/>
      <c r="K185" s="42">
        <v>8</v>
      </c>
      <c r="L185" s="42">
        <v>10</v>
      </c>
      <c r="M185" s="42">
        <v>9</v>
      </c>
      <c r="N185" s="42">
        <v>10</v>
      </c>
      <c r="O185" s="42"/>
    </row>
    <row r="186" spans="1:15" x14ac:dyDescent="0.35">
      <c r="A186" s="42">
        <v>1356</v>
      </c>
      <c r="B186" s="42" t="s">
        <v>136</v>
      </c>
      <c r="C186" s="42" t="s">
        <v>199</v>
      </c>
      <c r="D186" s="42" t="s">
        <v>159</v>
      </c>
      <c r="E186" s="42" t="s">
        <v>206</v>
      </c>
      <c r="F186" s="42" t="s">
        <v>141</v>
      </c>
      <c r="G186" s="42">
        <v>7</v>
      </c>
      <c r="H186" s="42">
        <v>6</v>
      </c>
      <c r="I186" s="42">
        <v>5</v>
      </c>
      <c r="J186" s="42"/>
      <c r="K186" s="42">
        <v>7</v>
      </c>
      <c r="L186" s="42">
        <v>8</v>
      </c>
      <c r="M186" s="42">
        <v>9</v>
      </c>
      <c r="N186" s="42">
        <v>8</v>
      </c>
      <c r="O186" s="42"/>
    </row>
    <row r="187" spans="1:15" x14ac:dyDescent="0.35">
      <c r="A187" s="42">
        <v>1360</v>
      </c>
      <c r="B187" s="42" t="s">
        <v>175</v>
      </c>
      <c r="C187" s="42" t="s">
        <v>137</v>
      </c>
      <c r="D187" s="42" t="s">
        <v>176</v>
      </c>
      <c r="E187" s="42" t="s">
        <v>140</v>
      </c>
      <c r="F187" s="42" t="s">
        <v>141</v>
      </c>
      <c r="G187" s="42">
        <v>5</v>
      </c>
      <c r="H187" s="42">
        <v>7</v>
      </c>
      <c r="I187" s="42"/>
      <c r="J187" s="42"/>
      <c r="K187" s="42"/>
      <c r="L187" s="42"/>
      <c r="M187" s="42"/>
      <c r="N187" s="42">
        <v>5</v>
      </c>
      <c r="O187" s="42"/>
    </row>
    <row r="188" spans="1:15" x14ac:dyDescent="0.35">
      <c r="A188" s="42">
        <v>1367</v>
      </c>
      <c r="B188" s="42" t="s">
        <v>136</v>
      </c>
      <c r="C188" s="42" t="s">
        <v>199</v>
      </c>
      <c r="D188" s="42" t="s">
        <v>159</v>
      </c>
      <c r="E188" s="42" t="s">
        <v>160</v>
      </c>
      <c r="F188" s="42" t="s">
        <v>141</v>
      </c>
      <c r="G188" s="42">
        <v>8</v>
      </c>
      <c r="H188" s="42">
        <v>10</v>
      </c>
      <c r="I188" s="42">
        <v>8</v>
      </c>
      <c r="J188" s="42"/>
      <c r="K188" s="42"/>
      <c r="L188" s="42"/>
      <c r="M188" s="42">
        <v>10</v>
      </c>
      <c r="N188" s="42">
        <v>10</v>
      </c>
      <c r="O188" s="42"/>
    </row>
    <row r="189" spans="1:15" x14ac:dyDescent="0.35">
      <c r="A189" s="42">
        <v>1364</v>
      </c>
      <c r="B189" s="42" t="s">
        <v>136</v>
      </c>
      <c r="C189" s="42" t="s">
        <v>137</v>
      </c>
      <c r="D189" s="42" t="s">
        <v>159</v>
      </c>
      <c r="E189" s="42" t="s">
        <v>140</v>
      </c>
      <c r="F189" s="42" t="s">
        <v>141</v>
      </c>
      <c r="G189" s="42">
        <v>9</v>
      </c>
      <c r="H189" s="42"/>
      <c r="I189" s="42">
        <v>9</v>
      </c>
      <c r="J189" s="42">
        <v>5</v>
      </c>
      <c r="K189" s="42">
        <v>8</v>
      </c>
      <c r="L189" s="42">
        <v>8</v>
      </c>
      <c r="M189" s="42">
        <v>7</v>
      </c>
      <c r="N189" s="42">
        <v>9</v>
      </c>
      <c r="O189" s="42"/>
    </row>
    <row r="190" spans="1:15" x14ac:dyDescent="0.35">
      <c r="A190" s="42">
        <v>1365</v>
      </c>
      <c r="B190" s="42" t="s">
        <v>136</v>
      </c>
      <c r="C190" s="42" t="s">
        <v>137</v>
      </c>
      <c r="D190" s="42" t="s">
        <v>176</v>
      </c>
      <c r="E190" s="42" t="s">
        <v>206</v>
      </c>
      <c r="F190" s="42" t="s">
        <v>141</v>
      </c>
      <c r="G190" s="42">
        <v>6</v>
      </c>
      <c r="H190" s="42"/>
      <c r="I190" s="42">
        <v>8</v>
      </c>
      <c r="J190" s="42"/>
      <c r="K190" s="42">
        <v>3</v>
      </c>
      <c r="L190" s="42"/>
      <c r="M190" s="42">
        <v>8</v>
      </c>
      <c r="N190" s="42">
        <v>5</v>
      </c>
      <c r="O190" s="42" t="s">
        <v>1753</v>
      </c>
    </row>
    <row r="191" spans="1:15" x14ac:dyDescent="0.35">
      <c r="A191" s="42">
        <v>1059</v>
      </c>
      <c r="B191" s="42" t="s">
        <v>136</v>
      </c>
      <c r="C191" s="42" t="s">
        <v>137</v>
      </c>
      <c r="D191" s="42" t="s">
        <v>219</v>
      </c>
      <c r="E191" s="42" t="s">
        <v>160</v>
      </c>
      <c r="F191" s="42" t="s">
        <v>141</v>
      </c>
      <c r="G191" s="42">
        <v>3</v>
      </c>
      <c r="H191" s="42">
        <v>9</v>
      </c>
      <c r="I191" s="42">
        <v>2</v>
      </c>
      <c r="J191" s="42"/>
      <c r="K191" s="42">
        <v>3</v>
      </c>
      <c r="L191" s="42">
        <v>3</v>
      </c>
      <c r="M191" s="42"/>
      <c r="N191" s="42">
        <v>1</v>
      </c>
      <c r="O191" s="42" t="s">
        <v>1752</v>
      </c>
    </row>
    <row r="192" spans="1:15" x14ac:dyDescent="0.35">
      <c r="A192" s="42">
        <v>1369</v>
      </c>
      <c r="B192" s="42" t="s">
        <v>136</v>
      </c>
      <c r="C192" s="42" t="s">
        <v>199</v>
      </c>
      <c r="D192" s="42" t="s">
        <v>138</v>
      </c>
      <c r="E192" s="42" t="s">
        <v>140</v>
      </c>
      <c r="F192" s="42" t="s">
        <v>141</v>
      </c>
      <c r="G192" s="42">
        <v>1</v>
      </c>
      <c r="H192" s="42"/>
      <c r="I192" s="42">
        <v>7</v>
      </c>
      <c r="J192" s="42">
        <v>8</v>
      </c>
      <c r="K192" s="42">
        <v>5</v>
      </c>
      <c r="L192" s="42">
        <v>5</v>
      </c>
      <c r="M192" s="42">
        <v>8</v>
      </c>
      <c r="N192" s="42">
        <v>3</v>
      </c>
      <c r="O192" s="42" t="s">
        <v>1754</v>
      </c>
    </row>
    <row r="193" spans="1:15" x14ac:dyDescent="0.35">
      <c r="A193" s="42">
        <v>1370</v>
      </c>
      <c r="B193" s="42" t="s">
        <v>136</v>
      </c>
      <c r="C193" s="42" t="s">
        <v>199</v>
      </c>
      <c r="D193" s="42" t="s">
        <v>176</v>
      </c>
      <c r="E193" s="42" t="s">
        <v>206</v>
      </c>
      <c r="F193" s="42" t="s">
        <v>141</v>
      </c>
      <c r="G193" s="42">
        <v>7</v>
      </c>
      <c r="H193" s="42">
        <v>7</v>
      </c>
      <c r="I193" s="42">
        <v>7</v>
      </c>
      <c r="J193" s="42"/>
      <c r="K193" s="42">
        <v>6</v>
      </c>
      <c r="L193" s="42">
        <v>6</v>
      </c>
      <c r="M193" s="42">
        <v>7</v>
      </c>
      <c r="N193" s="42">
        <v>8</v>
      </c>
      <c r="O193" s="42"/>
    </row>
    <row r="194" spans="1:15" x14ac:dyDescent="0.35">
      <c r="A194" s="42">
        <v>1371</v>
      </c>
      <c r="B194" s="42" t="s">
        <v>136</v>
      </c>
      <c r="C194" s="42" t="s">
        <v>137</v>
      </c>
      <c r="D194" s="42" t="s">
        <v>159</v>
      </c>
      <c r="E194" s="42" t="s">
        <v>140</v>
      </c>
      <c r="F194" s="42" t="s">
        <v>141</v>
      </c>
      <c r="G194" s="42">
        <v>7</v>
      </c>
      <c r="H194" s="42">
        <v>8</v>
      </c>
      <c r="I194" s="42">
        <v>8</v>
      </c>
      <c r="J194" s="42"/>
      <c r="K194" s="42">
        <v>7</v>
      </c>
      <c r="L194" s="42">
        <v>8</v>
      </c>
      <c r="M194" s="42">
        <v>8</v>
      </c>
      <c r="N194" s="42">
        <v>10</v>
      </c>
      <c r="O194" s="42" t="s">
        <v>1753</v>
      </c>
    </row>
    <row r="195" spans="1:15" x14ac:dyDescent="0.35">
      <c r="A195" s="42">
        <v>1372</v>
      </c>
      <c r="B195" s="42" t="s">
        <v>175</v>
      </c>
      <c r="C195" s="42" t="s">
        <v>137</v>
      </c>
      <c r="D195" s="42" t="s">
        <v>159</v>
      </c>
      <c r="E195" s="42" t="s">
        <v>140</v>
      </c>
      <c r="F195" s="42" t="s">
        <v>141</v>
      </c>
      <c r="G195" s="42">
        <v>7</v>
      </c>
      <c r="H195" s="42">
        <v>9</v>
      </c>
      <c r="I195" s="42">
        <v>7</v>
      </c>
      <c r="J195" s="42">
        <v>4</v>
      </c>
      <c r="K195" s="42">
        <v>7</v>
      </c>
      <c r="L195" s="42">
        <v>5</v>
      </c>
      <c r="M195" s="42">
        <v>8</v>
      </c>
      <c r="N195" s="42">
        <v>5</v>
      </c>
      <c r="O195" s="42" t="s">
        <v>1752</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6"/>
  <sheetViews>
    <sheetView zoomScaleNormal="100" workbookViewId="0"/>
  </sheetViews>
  <sheetFormatPr defaultColWidth="8.6328125" defaultRowHeight="14.5" x14ac:dyDescent="0.35"/>
  <cols>
    <col min="1" max="1" width="38" customWidth="1"/>
    <col min="2" max="2" width="9" customWidth="1"/>
    <col min="3" max="3" width="8" customWidth="1"/>
    <col min="4" max="4" width="9" customWidth="1"/>
    <col min="5" max="5" width="8" customWidth="1"/>
    <col min="6" max="8" width="13" customWidth="1"/>
    <col min="9" max="9" width="12" customWidth="1"/>
    <col min="10" max="10" width="13" customWidth="1"/>
  </cols>
  <sheetData>
    <row r="1" spans="1:10" ht="16.5" x14ac:dyDescent="0.35">
      <c r="A1" s="40" t="s">
        <v>1756</v>
      </c>
    </row>
    <row r="3" spans="1:10" ht="26" x14ac:dyDescent="0.35">
      <c r="A3" s="38" t="s">
        <v>1757</v>
      </c>
      <c r="B3" s="38" t="s">
        <v>143</v>
      </c>
      <c r="C3" s="38" t="s">
        <v>222</v>
      </c>
      <c r="D3" s="38" t="s">
        <v>147</v>
      </c>
      <c r="E3" s="38" t="s">
        <v>1758</v>
      </c>
      <c r="F3" s="38" t="s">
        <v>1759</v>
      </c>
      <c r="G3" s="38" t="s">
        <v>1760</v>
      </c>
      <c r="H3" s="38" t="s">
        <v>1761</v>
      </c>
      <c r="I3" s="38" t="s">
        <v>1762</v>
      </c>
      <c r="J3" s="38" t="s">
        <v>1763</v>
      </c>
    </row>
    <row r="4" spans="1:10" x14ac:dyDescent="0.35">
      <c r="A4" s="22" t="s">
        <v>144</v>
      </c>
      <c r="B4" s="22">
        <f>COUNTIFS('Categorized Verbatims'!$K$2:$K$1362,$A4,'Categorized Verbatims'!$J$2:$J$1362,"Negative")</f>
        <v>131</v>
      </c>
      <c r="C4" s="22">
        <f>COUNTIFS('Categorized Verbatims'!$K$2:$K$1362,$A4,'Categorized Verbatims'!$J$2:$J$1362,"Mixed")</f>
        <v>16</v>
      </c>
      <c r="D4" s="22">
        <f>COUNTIFS('Categorized Verbatims'!$K$2:$K$1362,$A4,'Categorized Verbatims'!$J$2:$J$1362,"Positive")</f>
        <v>85</v>
      </c>
      <c r="E4" s="22">
        <f t="shared" ref="E4:E23" si="0">SUM(B4:D4)</f>
        <v>232</v>
      </c>
      <c r="F4" s="47">
        <f t="shared" ref="F4:F23" si="1">E4/$E$24</f>
        <v>0.17046289493019839</v>
      </c>
      <c r="G4" s="22">
        <f t="shared" ref="G4:G24" si="2">D4-B4</f>
        <v>-46</v>
      </c>
      <c r="H4" s="22">
        <f>COUNTIF('Categorized Verbatims'!$L$2:$L$1362,"*"&amp;$A4&amp;"*")</f>
        <v>302</v>
      </c>
      <c r="I4" s="22">
        <v>132</v>
      </c>
      <c r="J4" s="47">
        <f t="shared" ref="J4:J23" si="3">I4/194</f>
        <v>0.68041237113402064</v>
      </c>
    </row>
    <row r="5" spans="1:10" x14ac:dyDescent="0.35">
      <c r="A5" s="22" t="s">
        <v>196</v>
      </c>
      <c r="B5" s="22">
        <f>COUNTIFS('Categorized Verbatims'!$K$2:$K$1362,$A5,'Categorized Verbatims'!$J$2:$J$1362,"Negative")</f>
        <v>165</v>
      </c>
      <c r="C5" s="22">
        <f>COUNTIFS('Categorized Verbatims'!$K$2:$K$1362,$A5,'Categorized Verbatims'!$J$2:$J$1362,"Mixed")</f>
        <v>10</v>
      </c>
      <c r="D5" s="22">
        <f>COUNTIFS('Categorized Verbatims'!$K$2:$K$1362,$A5,'Categorized Verbatims'!$J$2:$J$1362,"Positive")</f>
        <v>43</v>
      </c>
      <c r="E5" s="22">
        <f t="shared" si="0"/>
        <v>218</v>
      </c>
      <c r="F5" s="47">
        <f t="shared" si="1"/>
        <v>0.16017634092578986</v>
      </c>
      <c r="G5" s="22">
        <f t="shared" si="2"/>
        <v>-122</v>
      </c>
      <c r="H5" s="22">
        <f>COUNTIF('Categorized Verbatims'!$L$2:$L$1362,"*"&amp;$A5&amp;"*")</f>
        <v>327</v>
      </c>
      <c r="I5" s="22">
        <v>133</v>
      </c>
      <c r="J5" s="47">
        <f t="shared" si="3"/>
        <v>0.68556701030927836</v>
      </c>
    </row>
    <row r="6" spans="1:10" x14ac:dyDescent="0.35">
      <c r="A6" s="22" t="s">
        <v>210</v>
      </c>
      <c r="B6" s="22">
        <f>COUNTIFS('Categorized Verbatims'!$K$2:$K$1362,$A6,'Categorized Verbatims'!$J$2:$J$1362,"Negative")</f>
        <v>57</v>
      </c>
      <c r="C6" s="22">
        <f>COUNTIFS('Categorized Verbatims'!$K$2:$K$1362,$A6,'Categorized Verbatims'!$J$2:$J$1362,"Mixed")</f>
        <v>15</v>
      </c>
      <c r="D6" s="22">
        <f>COUNTIFS('Categorized Verbatims'!$K$2:$K$1362,$A6,'Categorized Verbatims'!$J$2:$J$1362,"Positive")</f>
        <v>91</v>
      </c>
      <c r="E6" s="22">
        <f t="shared" si="0"/>
        <v>163</v>
      </c>
      <c r="F6" s="47">
        <f t="shared" si="1"/>
        <v>0.11976487876561352</v>
      </c>
      <c r="G6" s="22">
        <f t="shared" si="2"/>
        <v>34</v>
      </c>
      <c r="H6" s="22">
        <f>COUNTIF('Categorized Verbatims'!$L$2:$L$1362,"*"&amp;$A6&amp;"*")</f>
        <v>163</v>
      </c>
      <c r="I6" s="22">
        <v>105</v>
      </c>
      <c r="J6" s="47">
        <f t="shared" si="3"/>
        <v>0.54123711340206182</v>
      </c>
    </row>
    <row r="7" spans="1:10" x14ac:dyDescent="0.35">
      <c r="A7" s="22" t="s">
        <v>78</v>
      </c>
      <c r="B7" s="22">
        <f>COUNTIFS('Categorized Verbatims'!$K$2:$K$1362,$A7,'Categorized Verbatims'!$J$2:$J$1362,"Negative")</f>
        <v>33</v>
      </c>
      <c r="C7" s="22">
        <f>COUNTIFS('Categorized Verbatims'!$K$2:$K$1362,$A7,'Categorized Verbatims'!$J$2:$J$1362,"Mixed")</f>
        <v>5</v>
      </c>
      <c r="D7" s="22">
        <f>COUNTIFS('Categorized Verbatims'!$K$2:$K$1362,$A7,'Categorized Verbatims'!$J$2:$J$1362,"Positive")</f>
        <v>92</v>
      </c>
      <c r="E7" s="22">
        <f t="shared" si="0"/>
        <v>130</v>
      </c>
      <c r="F7" s="47">
        <f t="shared" si="1"/>
        <v>9.5518001469507716E-2</v>
      </c>
      <c r="G7" s="22">
        <f t="shared" si="2"/>
        <v>59</v>
      </c>
      <c r="H7" s="22">
        <f>COUNTIF('Categorized Verbatims'!$L$2:$L$1362,"*"&amp;$A7&amp;"*")</f>
        <v>292</v>
      </c>
      <c r="I7" s="22">
        <v>97</v>
      </c>
      <c r="J7" s="47">
        <f t="shared" si="3"/>
        <v>0.5</v>
      </c>
    </row>
    <row r="8" spans="1:10" x14ac:dyDescent="0.35">
      <c r="A8" s="22" t="s">
        <v>190</v>
      </c>
      <c r="B8" s="22">
        <f>COUNTIFS('Categorized Verbatims'!$K$2:$K$1362,$A8,'Categorized Verbatims'!$J$2:$J$1362,"Negative")</f>
        <v>34</v>
      </c>
      <c r="C8" s="22">
        <f>COUNTIFS('Categorized Verbatims'!$K$2:$K$1362,$A8,'Categorized Verbatims'!$J$2:$J$1362,"Mixed")</f>
        <v>3</v>
      </c>
      <c r="D8" s="22">
        <f>COUNTIFS('Categorized Verbatims'!$K$2:$K$1362,$A8,'Categorized Verbatims'!$J$2:$J$1362,"Positive")</f>
        <v>49</v>
      </c>
      <c r="E8" s="22">
        <f t="shared" si="0"/>
        <v>86</v>
      </c>
      <c r="F8" s="47">
        <f t="shared" si="1"/>
        <v>6.3188831741366636E-2</v>
      </c>
      <c r="G8" s="22">
        <f t="shared" si="2"/>
        <v>15</v>
      </c>
      <c r="H8" s="22">
        <f>COUNTIF('Categorized Verbatims'!$L$2:$L$1362,"*"&amp;$A8&amp;"*")</f>
        <v>322</v>
      </c>
      <c r="I8" s="22">
        <v>71</v>
      </c>
      <c r="J8" s="47">
        <f t="shared" si="3"/>
        <v>0.36597938144329895</v>
      </c>
    </row>
    <row r="9" spans="1:10" x14ac:dyDescent="0.35">
      <c r="A9" s="22" t="s">
        <v>76</v>
      </c>
      <c r="B9" s="22">
        <f>COUNTIFS('Categorized Verbatims'!$K$2:$K$1362,$A9,'Categorized Verbatims'!$J$2:$J$1362,"Negative")</f>
        <v>23</v>
      </c>
      <c r="C9" s="22">
        <f>COUNTIFS('Categorized Verbatims'!$K$2:$K$1362,$A9,'Categorized Verbatims'!$J$2:$J$1362,"Mixed")</f>
        <v>7</v>
      </c>
      <c r="D9" s="22">
        <f>COUNTIFS('Categorized Verbatims'!$K$2:$K$1362,$A9,'Categorized Verbatims'!$J$2:$J$1362,"Positive")</f>
        <v>41</v>
      </c>
      <c r="E9" s="22">
        <f t="shared" si="0"/>
        <v>71</v>
      </c>
      <c r="F9" s="47">
        <f t="shared" si="1"/>
        <v>5.2167523879500369E-2</v>
      </c>
      <c r="G9" s="22">
        <f t="shared" si="2"/>
        <v>18</v>
      </c>
      <c r="H9" s="22">
        <f>COUNTIF('Categorized Verbatims'!$L$2:$L$1362,"*"&amp;$A9&amp;"*")</f>
        <v>74</v>
      </c>
      <c r="I9" s="22">
        <v>56</v>
      </c>
      <c r="J9" s="47">
        <f t="shared" si="3"/>
        <v>0.28865979381443296</v>
      </c>
    </row>
    <row r="10" spans="1:10" x14ac:dyDescent="0.35">
      <c r="A10" s="22" t="s">
        <v>181</v>
      </c>
      <c r="B10" s="22">
        <f>COUNTIFS('Categorized Verbatims'!$K$2:$K$1362,$A10,'Categorized Verbatims'!$J$2:$J$1362,"Negative")</f>
        <v>27</v>
      </c>
      <c r="C10" s="22">
        <f>COUNTIFS('Categorized Verbatims'!$K$2:$K$1362,$A10,'Categorized Verbatims'!$J$2:$J$1362,"Mixed")</f>
        <v>3</v>
      </c>
      <c r="D10" s="22">
        <f>COUNTIFS('Categorized Verbatims'!$K$2:$K$1362,$A10,'Categorized Verbatims'!$J$2:$J$1362,"Positive")</f>
        <v>35</v>
      </c>
      <c r="E10" s="22">
        <f t="shared" si="0"/>
        <v>65</v>
      </c>
      <c r="F10" s="47">
        <f t="shared" si="1"/>
        <v>4.7759000734753858E-2</v>
      </c>
      <c r="G10" s="22">
        <f t="shared" si="2"/>
        <v>8</v>
      </c>
      <c r="H10" s="22">
        <f>COUNTIF('Categorized Verbatims'!$L$2:$L$1362,"*"&amp;$A10&amp;"*")</f>
        <v>135</v>
      </c>
      <c r="I10" s="22">
        <v>52</v>
      </c>
      <c r="J10" s="47">
        <f t="shared" si="3"/>
        <v>0.26804123711340205</v>
      </c>
    </row>
    <row r="11" spans="1:10" x14ac:dyDescent="0.35">
      <c r="A11" s="22" t="s">
        <v>50</v>
      </c>
      <c r="B11" s="22">
        <f>COUNTIFS('Categorized Verbatims'!$K$2:$K$1362,$A11,'Categorized Verbatims'!$J$2:$J$1362,"Negative")</f>
        <v>52</v>
      </c>
      <c r="C11" s="22">
        <f>COUNTIFS('Categorized Verbatims'!$K$2:$K$1362,$A11,'Categorized Verbatims'!$J$2:$J$1362,"Mixed")</f>
        <v>1</v>
      </c>
      <c r="D11" s="22">
        <f>COUNTIFS('Categorized Verbatims'!$K$2:$K$1362,$A11,'Categorized Verbatims'!$J$2:$J$1362,"Positive")</f>
        <v>7</v>
      </c>
      <c r="E11" s="22">
        <f t="shared" si="0"/>
        <v>60</v>
      </c>
      <c r="F11" s="47">
        <f t="shared" si="1"/>
        <v>4.4085231447465102E-2</v>
      </c>
      <c r="G11" s="22">
        <f t="shared" si="2"/>
        <v>-45</v>
      </c>
      <c r="H11" s="22">
        <f>COUNTIF('Categorized Verbatims'!$L$2:$L$1362,"*"&amp;$A11&amp;"*")</f>
        <v>60</v>
      </c>
      <c r="I11" s="22">
        <v>48</v>
      </c>
      <c r="J11" s="47">
        <f t="shared" si="3"/>
        <v>0.24742268041237114</v>
      </c>
    </row>
    <row r="12" spans="1:10" x14ac:dyDescent="0.35">
      <c r="A12" s="22" t="s">
        <v>184</v>
      </c>
      <c r="B12" s="22">
        <f>COUNTIFS('Categorized Verbatims'!$K$2:$K$1362,$A12,'Categorized Verbatims'!$J$2:$J$1362,"Negative")</f>
        <v>39</v>
      </c>
      <c r="C12" s="22">
        <f>COUNTIFS('Categorized Verbatims'!$K$2:$K$1362,$A12,'Categorized Verbatims'!$J$2:$J$1362,"Mixed")</f>
        <v>1</v>
      </c>
      <c r="D12" s="22">
        <f>COUNTIFS('Categorized Verbatims'!$K$2:$K$1362,$A12,'Categorized Verbatims'!$J$2:$J$1362,"Positive")</f>
        <v>13</v>
      </c>
      <c r="E12" s="22">
        <f t="shared" si="0"/>
        <v>53</v>
      </c>
      <c r="F12" s="47">
        <f t="shared" si="1"/>
        <v>3.8941954445260836E-2</v>
      </c>
      <c r="G12" s="22">
        <f t="shared" si="2"/>
        <v>-26</v>
      </c>
      <c r="H12" s="22">
        <f>COUNTIF('Categorized Verbatims'!$L$2:$L$1362,"*"&amp;$A12&amp;"*")</f>
        <v>62</v>
      </c>
      <c r="I12" s="22">
        <v>38</v>
      </c>
      <c r="J12" s="47">
        <f t="shared" si="3"/>
        <v>0.19587628865979381</v>
      </c>
    </row>
    <row r="13" spans="1:10" x14ac:dyDescent="0.35">
      <c r="A13" s="22" t="s">
        <v>80</v>
      </c>
      <c r="B13" s="22">
        <f>COUNTIFS('Categorized Verbatims'!$K$2:$K$1362,$A13,'Categorized Verbatims'!$J$2:$J$1362,"Negative")</f>
        <v>3</v>
      </c>
      <c r="C13" s="22">
        <f>COUNTIFS('Categorized Verbatims'!$K$2:$K$1362,$A13,'Categorized Verbatims'!$J$2:$J$1362,"Mixed")</f>
        <v>3</v>
      </c>
      <c r="D13" s="22">
        <f>COUNTIFS('Categorized Verbatims'!$K$2:$K$1362,$A13,'Categorized Verbatims'!$J$2:$J$1362,"Positive")</f>
        <v>44</v>
      </c>
      <c r="E13" s="22">
        <f t="shared" si="0"/>
        <v>50</v>
      </c>
      <c r="F13" s="47">
        <f t="shared" si="1"/>
        <v>3.6737692872887584E-2</v>
      </c>
      <c r="G13" s="22">
        <f t="shared" si="2"/>
        <v>41</v>
      </c>
      <c r="H13" s="22">
        <f>COUNTIF('Categorized Verbatims'!$L$2:$L$1362,"*"&amp;$A13&amp;"*")</f>
        <v>103</v>
      </c>
      <c r="I13" s="22">
        <v>37</v>
      </c>
      <c r="J13" s="47">
        <f t="shared" si="3"/>
        <v>0.19072164948453607</v>
      </c>
    </row>
    <row r="14" spans="1:10" x14ac:dyDescent="0.35">
      <c r="A14" s="22" t="s">
        <v>53</v>
      </c>
      <c r="B14" s="22">
        <f>COUNTIFS('Categorized Verbatims'!$K$2:$K$1362,$A14,'Categorized Verbatims'!$J$2:$J$1362,"Negative")</f>
        <v>31</v>
      </c>
      <c r="C14" s="22">
        <f>COUNTIFS('Categorized Verbatims'!$K$2:$K$1362,$A14,'Categorized Verbatims'!$J$2:$J$1362,"Mixed")</f>
        <v>1</v>
      </c>
      <c r="D14" s="22">
        <f>COUNTIFS('Categorized Verbatims'!$K$2:$K$1362,$A14,'Categorized Verbatims'!$J$2:$J$1362,"Positive")</f>
        <v>4</v>
      </c>
      <c r="E14" s="22">
        <f t="shared" si="0"/>
        <v>36</v>
      </c>
      <c r="F14" s="47">
        <f t="shared" si="1"/>
        <v>2.6451138868479059E-2</v>
      </c>
      <c r="G14" s="22">
        <f t="shared" si="2"/>
        <v>-27</v>
      </c>
      <c r="H14" s="22">
        <f>COUNTIF('Categorized Verbatims'!$L$2:$L$1362,"*"&amp;$A14&amp;"*")</f>
        <v>38</v>
      </c>
      <c r="I14" s="22">
        <v>29</v>
      </c>
      <c r="J14" s="47">
        <f t="shared" si="3"/>
        <v>0.14948453608247422</v>
      </c>
    </row>
    <row r="15" spans="1:10" x14ac:dyDescent="0.35">
      <c r="A15" s="22" t="s">
        <v>268</v>
      </c>
      <c r="B15" s="22">
        <f>COUNTIFS('Categorized Verbatims'!$K$2:$K$1362,$A15,'Categorized Verbatims'!$J$2:$J$1362,"Negative")</f>
        <v>18</v>
      </c>
      <c r="C15" s="22">
        <f>COUNTIFS('Categorized Verbatims'!$K$2:$K$1362,$A15,'Categorized Verbatims'!$J$2:$J$1362,"Mixed")</f>
        <v>1</v>
      </c>
      <c r="D15" s="22">
        <f>COUNTIFS('Categorized Verbatims'!$K$2:$K$1362,$A15,'Categorized Verbatims'!$J$2:$J$1362,"Positive")</f>
        <v>15</v>
      </c>
      <c r="E15" s="22">
        <f t="shared" si="0"/>
        <v>34</v>
      </c>
      <c r="F15" s="47">
        <f t="shared" si="1"/>
        <v>2.4981631153563555E-2</v>
      </c>
      <c r="G15" s="22">
        <f t="shared" si="2"/>
        <v>-3</v>
      </c>
      <c r="H15" s="22">
        <f>COUNTIF('Categorized Verbatims'!$L$2:$L$1362,"*"&amp;$A15&amp;"*")</f>
        <v>91</v>
      </c>
      <c r="I15" s="22">
        <v>33</v>
      </c>
      <c r="J15" s="47">
        <f t="shared" si="3"/>
        <v>0.17010309278350516</v>
      </c>
    </row>
    <row r="16" spans="1:10" x14ac:dyDescent="0.35">
      <c r="A16" s="22" t="s">
        <v>305</v>
      </c>
      <c r="B16" s="22">
        <f>COUNTIFS('Categorized Verbatims'!$K$2:$K$1362,$A16,'Categorized Verbatims'!$J$2:$J$1362,"Negative")</f>
        <v>21</v>
      </c>
      <c r="C16" s="22">
        <f>COUNTIFS('Categorized Verbatims'!$K$2:$K$1362,$A16,'Categorized Verbatims'!$J$2:$J$1362,"Mixed")</f>
        <v>2</v>
      </c>
      <c r="D16" s="22">
        <f>COUNTIFS('Categorized Verbatims'!$K$2:$K$1362,$A16,'Categorized Verbatims'!$J$2:$J$1362,"Positive")</f>
        <v>11</v>
      </c>
      <c r="E16" s="22">
        <f t="shared" si="0"/>
        <v>34</v>
      </c>
      <c r="F16" s="47">
        <f t="shared" si="1"/>
        <v>2.4981631153563555E-2</v>
      </c>
      <c r="G16" s="22">
        <f t="shared" si="2"/>
        <v>-10</v>
      </c>
      <c r="H16" s="22">
        <f>COUNTIF('Categorized Verbatims'!$L$2:$L$1362,"*"&amp;$A16&amp;"*")</f>
        <v>41</v>
      </c>
      <c r="I16" s="22">
        <v>25</v>
      </c>
      <c r="J16" s="47">
        <f t="shared" si="3"/>
        <v>0.12886597938144329</v>
      </c>
    </row>
    <row r="17" spans="1:10" x14ac:dyDescent="0.35">
      <c r="A17" s="22" t="s">
        <v>187</v>
      </c>
      <c r="B17" s="22">
        <f>COUNTIFS('Categorized Verbatims'!$K$2:$K$1362,$A17,'Categorized Verbatims'!$J$2:$J$1362,"Negative")</f>
        <v>16</v>
      </c>
      <c r="C17" s="22">
        <f>COUNTIFS('Categorized Verbatims'!$K$2:$K$1362,$A17,'Categorized Verbatims'!$J$2:$J$1362,"Mixed")</f>
        <v>5</v>
      </c>
      <c r="D17" s="22">
        <f>COUNTIFS('Categorized Verbatims'!$K$2:$K$1362,$A17,'Categorized Verbatims'!$J$2:$J$1362,"Positive")</f>
        <v>11</v>
      </c>
      <c r="E17" s="22">
        <f t="shared" si="0"/>
        <v>32</v>
      </c>
      <c r="F17" s="47">
        <f t="shared" si="1"/>
        <v>2.3512123438648051E-2</v>
      </c>
      <c r="G17" s="22">
        <f t="shared" si="2"/>
        <v>-5</v>
      </c>
      <c r="H17" s="22">
        <f>COUNTIF('Categorized Verbatims'!$L$2:$L$1362,"*"&amp;$A17&amp;"*")</f>
        <v>34</v>
      </c>
      <c r="I17" s="22">
        <v>26</v>
      </c>
      <c r="J17" s="47">
        <f t="shared" si="3"/>
        <v>0.13402061855670103</v>
      </c>
    </row>
    <row r="18" spans="1:10" x14ac:dyDescent="0.35">
      <c r="A18" s="22" t="s">
        <v>262</v>
      </c>
      <c r="B18" s="22">
        <f>COUNTIFS('Categorized Verbatims'!$K$2:$K$1362,$A18,'Categorized Verbatims'!$J$2:$J$1362,"Negative")</f>
        <v>18</v>
      </c>
      <c r="C18" s="22">
        <f>COUNTIFS('Categorized Verbatims'!$K$2:$K$1362,$A18,'Categorized Verbatims'!$J$2:$J$1362,"Mixed")</f>
        <v>1</v>
      </c>
      <c r="D18" s="22">
        <f>COUNTIFS('Categorized Verbatims'!$K$2:$K$1362,$A18,'Categorized Verbatims'!$J$2:$J$1362,"Positive")</f>
        <v>6</v>
      </c>
      <c r="E18" s="22">
        <f t="shared" si="0"/>
        <v>25</v>
      </c>
      <c r="F18" s="47">
        <f t="shared" si="1"/>
        <v>1.8368846436443792E-2</v>
      </c>
      <c r="G18" s="22">
        <f t="shared" si="2"/>
        <v>-12</v>
      </c>
      <c r="H18" s="22">
        <f>COUNTIF('Categorized Verbatims'!$L$2:$L$1362,"*"&amp;$A18&amp;"*")</f>
        <v>33</v>
      </c>
      <c r="I18" s="22">
        <v>21</v>
      </c>
      <c r="J18" s="47">
        <f t="shared" si="3"/>
        <v>0.10824742268041238</v>
      </c>
    </row>
    <row r="19" spans="1:10" x14ac:dyDescent="0.35">
      <c r="A19" s="22" t="s">
        <v>82</v>
      </c>
      <c r="B19" s="22">
        <f>COUNTIFS('Categorized Verbatims'!$K$2:$K$1362,$A19,'Categorized Verbatims'!$J$2:$J$1362,"Negative")</f>
        <v>3</v>
      </c>
      <c r="C19" s="22">
        <f>COUNTIFS('Categorized Verbatims'!$K$2:$K$1362,$A19,'Categorized Verbatims'!$J$2:$J$1362,"Mixed")</f>
        <v>1</v>
      </c>
      <c r="D19" s="22">
        <f>COUNTIFS('Categorized Verbatims'!$K$2:$K$1362,$A19,'Categorized Verbatims'!$J$2:$J$1362,"Positive")</f>
        <v>16</v>
      </c>
      <c r="E19" s="22">
        <f t="shared" si="0"/>
        <v>20</v>
      </c>
      <c r="F19" s="47">
        <f t="shared" si="1"/>
        <v>1.4695077149155033E-2</v>
      </c>
      <c r="G19" s="22">
        <f t="shared" si="2"/>
        <v>13</v>
      </c>
      <c r="H19" s="22">
        <f>COUNTIF('Categorized Verbatims'!$L$2:$L$1362,"*"&amp;$A19&amp;"*")</f>
        <v>83</v>
      </c>
      <c r="I19" s="22">
        <v>20</v>
      </c>
      <c r="J19" s="47">
        <f t="shared" si="3"/>
        <v>0.10309278350515463</v>
      </c>
    </row>
    <row r="20" spans="1:10" x14ac:dyDescent="0.35">
      <c r="A20" s="22" t="s">
        <v>84</v>
      </c>
      <c r="B20" s="22">
        <f>COUNTIFS('Categorized Verbatims'!$K$2:$K$1362,$A20,'Categorized Verbatims'!$J$2:$J$1362,"Negative")</f>
        <v>14</v>
      </c>
      <c r="C20" s="22">
        <f>COUNTIFS('Categorized Verbatims'!$K$2:$K$1362,$A20,'Categorized Verbatims'!$J$2:$J$1362,"Mixed")</f>
        <v>0</v>
      </c>
      <c r="D20" s="22">
        <f>COUNTIFS('Categorized Verbatims'!$K$2:$K$1362,$A20,'Categorized Verbatims'!$J$2:$J$1362,"Positive")</f>
        <v>3</v>
      </c>
      <c r="E20" s="22">
        <f t="shared" si="0"/>
        <v>17</v>
      </c>
      <c r="F20" s="47">
        <f t="shared" si="1"/>
        <v>1.2490815576781777E-2</v>
      </c>
      <c r="G20" s="22">
        <f t="shared" si="2"/>
        <v>-11</v>
      </c>
      <c r="H20" s="22">
        <f>COUNTIF('Categorized Verbatims'!$L$2:$L$1362,"*"&amp;$A20&amp;"*")</f>
        <v>55</v>
      </c>
      <c r="I20" s="22">
        <v>16</v>
      </c>
      <c r="J20" s="47">
        <f t="shared" si="3"/>
        <v>8.247422680412371E-2</v>
      </c>
    </row>
    <row r="21" spans="1:10" x14ac:dyDescent="0.35">
      <c r="A21" s="22" t="s">
        <v>484</v>
      </c>
      <c r="B21" s="22">
        <f>COUNTIFS('Categorized Verbatims'!$K$2:$K$1362,$A21,'Categorized Verbatims'!$J$2:$J$1362,"Negative")</f>
        <v>8</v>
      </c>
      <c r="C21" s="22">
        <f>COUNTIFS('Categorized Verbatims'!$K$2:$K$1362,$A21,'Categorized Verbatims'!$J$2:$J$1362,"Mixed")</f>
        <v>6</v>
      </c>
      <c r="D21" s="22">
        <f>COUNTIFS('Categorized Verbatims'!$K$2:$K$1362,$A21,'Categorized Verbatims'!$J$2:$J$1362,"Positive")</f>
        <v>2</v>
      </c>
      <c r="E21" s="22">
        <f t="shared" si="0"/>
        <v>16</v>
      </c>
      <c r="F21" s="47">
        <f t="shared" si="1"/>
        <v>1.1756061719324026E-2</v>
      </c>
      <c r="G21" s="22">
        <f t="shared" si="2"/>
        <v>-6</v>
      </c>
      <c r="H21" s="22">
        <f>COUNTIF('Categorized Verbatims'!$L$2:$L$1362,"*"&amp;$A21&amp;"*")</f>
        <v>56</v>
      </c>
      <c r="I21" s="22">
        <v>15</v>
      </c>
      <c r="J21" s="47">
        <f t="shared" si="3"/>
        <v>7.7319587628865982E-2</v>
      </c>
    </row>
    <row r="22" spans="1:10" x14ac:dyDescent="0.35">
      <c r="A22" s="22" t="s">
        <v>333</v>
      </c>
      <c r="B22" s="22">
        <f>COUNTIFS('Categorized Verbatims'!$K$2:$K$1362,$A22,'Categorized Verbatims'!$J$2:$J$1362,"Negative")</f>
        <v>9</v>
      </c>
      <c r="C22" s="22">
        <f>COUNTIFS('Categorized Verbatims'!$K$2:$K$1362,$A22,'Categorized Verbatims'!$J$2:$J$1362,"Mixed")</f>
        <v>1</v>
      </c>
      <c r="D22" s="22">
        <f>COUNTIFS('Categorized Verbatims'!$K$2:$K$1362,$A22,'Categorized Verbatims'!$J$2:$J$1362,"Positive")</f>
        <v>0</v>
      </c>
      <c r="E22" s="22">
        <f t="shared" si="0"/>
        <v>10</v>
      </c>
      <c r="F22" s="47">
        <f t="shared" si="1"/>
        <v>7.3475385745775165E-3</v>
      </c>
      <c r="G22" s="22">
        <f t="shared" si="2"/>
        <v>-9</v>
      </c>
      <c r="H22" s="22">
        <f>COUNTIF('Categorized Verbatims'!$L$2:$L$1362,"*"&amp;$A22&amp;"*")</f>
        <v>14</v>
      </c>
      <c r="I22" s="22">
        <v>9</v>
      </c>
      <c r="J22" s="47">
        <f t="shared" si="3"/>
        <v>4.6391752577319589E-2</v>
      </c>
    </row>
    <row r="23" spans="1:10" x14ac:dyDescent="0.35">
      <c r="A23" s="22" t="s">
        <v>193</v>
      </c>
      <c r="B23" s="22">
        <f>COUNTIFS('Categorized Verbatims'!$K$2:$K$1362,$A23,'Categorized Verbatims'!$J$2:$J$1362,"Negative")</f>
        <v>7</v>
      </c>
      <c r="C23" s="22">
        <f>COUNTIFS('Categorized Verbatims'!$K$2:$K$1362,$A23,'Categorized Verbatims'!$J$2:$J$1362,"Mixed")</f>
        <v>0</v>
      </c>
      <c r="D23" s="22">
        <f>COUNTIFS('Categorized Verbatims'!$K$2:$K$1362,$A23,'Categorized Verbatims'!$J$2:$J$1362,"Positive")</f>
        <v>2</v>
      </c>
      <c r="E23" s="22">
        <f t="shared" si="0"/>
        <v>9</v>
      </c>
      <c r="F23" s="47">
        <f t="shared" si="1"/>
        <v>6.6127847171197646E-3</v>
      </c>
      <c r="G23" s="22">
        <f t="shared" si="2"/>
        <v>-5</v>
      </c>
      <c r="H23" s="22">
        <f>COUNTIF('Categorized Verbatims'!$L$2:$L$1362,"*"&amp;$A23&amp;"*")</f>
        <v>12</v>
      </c>
      <c r="I23" s="22">
        <v>9</v>
      </c>
      <c r="J23" s="47">
        <f t="shared" si="3"/>
        <v>4.6391752577319589E-2</v>
      </c>
    </row>
    <row r="24" spans="1:10" x14ac:dyDescent="0.35">
      <c r="A24" s="18" t="s">
        <v>1764</v>
      </c>
      <c r="B24" s="18">
        <f>SUM(B4:B23)</f>
        <v>709</v>
      </c>
      <c r="C24" s="18">
        <f>SUM(C4:C23)</f>
        <v>82</v>
      </c>
      <c r="D24" s="18">
        <f>SUM(D4:D23)</f>
        <v>570</v>
      </c>
      <c r="E24" s="18">
        <f>SUM(E4:E23)</f>
        <v>1361</v>
      </c>
      <c r="F24" s="47">
        <v>1</v>
      </c>
      <c r="G24" s="18">
        <f t="shared" si="2"/>
        <v>-139</v>
      </c>
      <c r="H24" s="22"/>
      <c r="I24" s="22"/>
      <c r="J24" s="22"/>
    </row>
    <row r="26" spans="1:10" x14ac:dyDescent="0.35">
      <c r="A26" s="16" t="s">
        <v>1765</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3"/>
  <sheetViews>
    <sheetView zoomScaleNormal="100" workbookViewId="0"/>
  </sheetViews>
  <sheetFormatPr defaultColWidth="8.6328125" defaultRowHeight="14.5" x14ac:dyDescent="0.35"/>
  <cols>
    <col min="1" max="1" width="30" customWidth="1"/>
    <col min="2" max="2" width="6" customWidth="1"/>
    <col min="3" max="3" width="7" customWidth="1"/>
    <col min="4" max="6" width="11" customWidth="1"/>
    <col min="7" max="7" width="12" customWidth="1"/>
    <col min="8" max="8" width="9" customWidth="1"/>
    <col min="9" max="10" width="10" customWidth="1"/>
    <col min="11" max="12" width="9" customWidth="1"/>
  </cols>
  <sheetData>
    <row r="1" spans="1:12" ht="16.5" x14ac:dyDescent="0.35">
      <c r="A1" s="40" t="s">
        <v>1766</v>
      </c>
    </row>
    <row r="3" spans="1:12" ht="26" x14ac:dyDescent="0.35">
      <c r="A3" s="38" t="s">
        <v>1767</v>
      </c>
      <c r="B3" s="38" t="s">
        <v>1768</v>
      </c>
      <c r="C3" s="38" t="s">
        <v>1769</v>
      </c>
      <c r="D3" s="38" t="s">
        <v>1770</v>
      </c>
      <c r="E3" s="38" t="s">
        <v>1771</v>
      </c>
      <c r="F3" s="38" t="s">
        <v>1772</v>
      </c>
      <c r="G3" s="38" t="s">
        <v>1773</v>
      </c>
      <c r="H3" s="38" t="s">
        <v>1774</v>
      </c>
      <c r="I3" s="38" t="s">
        <v>1775</v>
      </c>
      <c r="J3" s="38" t="s">
        <v>1776</v>
      </c>
      <c r="K3" s="38" t="s">
        <v>1777</v>
      </c>
      <c r="L3" s="38" t="s">
        <v>1778</v>
      </c>
    </row>
    <row r="4" spans="1:12" x14ac:dyDescent="0.35">
      <c r="A4" s="22" t="s">
        <v>1779</v>
      </c>
      <c r="B4" s="22">
        <f>COUNT('Score Data'!$G$2:$G$195)</f>
        <v>194</v>
      </c>
      <c r="C4" s="48">
        <f>AVERAGE('Score Data'!$G$2:$G$195)</f>
        <v>6.7268041237113403</v>
      </c>
      <c r="D4" s="47">
        <f>COUNTIF('Score Data'!$G$2:$G$195,"&lt;=6")/B4</f>
        <v>0.32989690721649484</v>
      </c>
      <c r="E4" s="47">
        <f>(COUNTIF('Score Data'!$G$2:$G$195,"&lt;=8")-COUNTIF('Score Data'!$G$2:$G$195,"&lt;=6"))/B4</f>
        <v>0.53092783505154639</v>
      </c>
      <c r="F4" s="47">
        <f>COUNTIF('Score Data'!$G$2:$G$195,"&gt;=9")/B4</f>
        <v>0.13917525773195877</v>
      </c>
      <c r="G4" s="25">
        <f t="shared" ref="G4:G11" si="0">C4-$C$4</f>
        <v>0</v>
      </c>
      <c r="H4" s="48">
        <f>IFERROR(AVERAGEIFS('Score Data'!$G$2:$G$195,'Score Data'!$E$2:$E$195,"SC"),"—")</f>
        <v>7.1081081081081079</v>
      </c>
      <c r="I4" s="48">
        <f>IFERROR(AVERAGEIFS('Score Data'!$G$2:$G$195,'Score Data'!$E$2:$E$195,"LC+MC"),"—")</f>
        <v>6.4057971014492754</v>
      </c>
      <c r="J4" s="48">
        <f>IFERROR(AVERAGEIFS('Score Data'!$G$2:$G$195,'Score Data'!$E$2:$E$195,"ELITE"),"—")</f>
        <v>6.8181818181818183</v>
      </c>
      <c r="K4" s="48">
        <f>IFERROR(AVERAGEIFS('Score Data'!$G$2:$G$195,'Score Data'!$B$2:$B$195,"PM"),"—")</f>
        <v>6.7666666666666666</v>
      </c>
      <c r="L4" s="48">
        <f>IFERROR(AVERAGEIFS('Score Data'!$G$2:$G$195,'Score Data'!$B$2:$B$195,"IB"),"—")</f>
        <v>6.558139534883721</v>
      </c>
    </row>
    <row r="5" spans="1:12" x14ac:dyDescent="0.35">
      <c r="A5" s="22" t="s">
        <v>1780</v>
      </c>
      <c r="B5" s="22">
        <f>COUNT('Score Data'!$H$2:$H$195)</f>
        <v>98</v>
      </c>
      <c r="C5" s="48">
        <f>AVERAGE('Score Data'!$H$2:$H$195)</f>
        <v>8.5510204081632661</v>
      </c>
      <c r="D5" s="47">
        <f>COUNTIF('Score Data'!$H$2:$H$195,"&lt;=6")/B5</f>
        <v>4.0816326530612242E-2</v>
      </c>
      <c r="E5" s="47">
        <f>(COUNTIF('Score Data'!$H$2:$H$195,"&lt;=8")-COUNTIF('Score Data'!$H$2:$H$195,"&lt;=6"))/B5</f>
        <v>0.39795918367346939</v>
      </c>
      <c r="F5" s="47">
        <f>COUNTIF('Score Data'!$H$2:$H$195,"&gt;=9")/B5</f>
        <v>0.56122448979591832</v>
      </c>
      <c r="G5" s="25">
        <f t="shared" si="0"/>
        <v>1.8242162844519259</v>
      </c>
      <c r="H5" s="48">
        <f>IFERROR(AVERAGEIFS('Score Data'!$H$2:$H$195,'Score Data'!$E$2:$E$195,"SC"),"—")</f>
        <v>8.4166666666666661</v>
      </c>
      <c r="I5" s="48">
        <f>IFERROR(AVERAGEIFS('Score Data'!$H$2:$H$195,'Score Data'!$E$2:$E$195,"LC+MC"),"—")</f>
        <v>8.6097560975609753</v>
      </c>
      <c r="J5" s="48">
        <f>IFERROR(AVERAGEIFS('Score Data'!$H$2:$H$195,'Score Data'!$E$2:$E$195,"ELITE"),"—")</f>
        <v>8.5757575757575761</v>
      </c>
      <c r="K5" s="48">
        <f>IFERROR(AVERAGEIFS('Score Data'!$H$2:$H$195,'Score Data'!$B$2:$B$195,"PM"),"—")</f>
        <v>8.6</v>
      </c>
      <c r="L5" s="48">
        <f>IFERROR(AVERAGEIFS('Score Data'!$H$2:$H$195,'Score Data'!$B$2:$B$195,"IB"),"—")</f>
        <v>8.3529411764705888</v>
      </c>
    </row>
    <row r="6" spans="1:12" x14ac:dyDescent="0.35">
      <c r="A6" s="22" t="s">
        <v>1781</v>
      </c>
      <c r="B6" s="22">
        <f>COUNT('Score Data'!$I$2:$I$195)</f>
        <v>146</v>
      </c>
      <c r="C6" s="48">
        <f>AVERAGE('Score Data'!$I$2:$I$195)</f>
        <v>7.1575342465753424</v>
      </c>
      <c r="D6" s="47">
        <f>COUNTIF('Score Data'!$I$2:$I$195,"&lt;=6")/B6</f>
        <v>0.22602739726027396</v>
      </c>
      <c r="E6" s="47">
        <f>(COUNTIF('Score Data'!$I$2:$I$195,"&lt;=8")-COUNTIF('Score Data'!$I$2:$I$195,"&lt;=6"))/B6</f>
        <v>0.6095890410958904</v>
      </c>
      <c r="F6" s="47">
        <f>COUNTIF('Score Data'!$I$2:$I$195,"&gt;=9")/B6</f>
        <v>0.16438356164383561</v>
      </c>
      <c r="G6" s="25">
        <f t="shared" si="0"/>
        <v>0.43073012286400214</v>
      </c>
      <c r="H6" s="48">
        <f>IFERROR(AVERAGEIFS('Score Data'!$I$2:$I$195,'Score Data'!$E$2:$E$195,"SC"),"—")</f>
        <v>7.2</v>
      </c>
      <c r="I6" s="48">
        <f>IFERROR(AVERAGEIFS('Score Data'!$I$2:$I$195,'Score Data'!$E$2:$E$195,"LC+MC"),"—")</f>
        <v>7.134615384615385</v>
      </c>
      <c r="J6" s="48">
        <f>IFERROR(AVERAGEIFS('Score Data'!$I$2:$I$195,'Score Data'!$E$2:$E$195,"ELITE"),"—")</f>
        <v>7.15625</v>
      </c>
      <c r="K6" s="48">
        <f>IFERROR(AVERAGEIFS('Score Data'!$I$2:$I$195,'Score Data'!$B$2:$B$195,"PM"),"—")</f>
        <v>7.2268907563025211</v>
      </c>
      <c r="L6" s="48">
        <f>IFERROR(AVERAGEIFS('Score Data'!$I$2:$I$195,'Score Data'!$B$2:$B$195,"IB"),"—")</f>
        <v>6.8518518518518521</v>
      </c>
    </row>
    <row r="7" spans="1:12" x14ac:dyDescent="0.35">
      <c r="A7" s="22" t="s">
        <v>1782</v>
      </c>
      <c r="B7" s="22">
        <f>COUNT('Score Data'!$J$2:$J$195)</f>
        <v>97</v>
      </c>
      <c r="C7" s="48">
        <f>AVERAGE('Score Data'!$J$2:$J$195)</f>
        <v>6.5670103092783503</v>
      </c>
      <c r="D7" s="47">
        <f>COUNTIF('Score Data'!$J$2:$J$195,"&lt;=6")/B7</f>
        <v>0.38144329896907214</v>
      </c>
      <c r="E7" s="47">
        <f>(COUNTIF('Score Data'!$J$2:$J$195,"&lt;=8")-COUNTIF('Score Data'!$J$2:$J$195,"&lt;=6"))/B7</f>
        <v>0.50515463917525771</v>
      </c>
      <c r="F7" s="47">
        <f>COUNTIF('Score Data'!$J$2:$J$195,"&gt;=9")/B7</f>
        <v>0.1134020618556701</v>
      </c>
      <c r="G7" s="25">
        <f t="shared" si="0"/>
        <v>-0.15979381443299001</v>
      </c>
      <c r="H7" s="48">
        <f>IFERROR(AVERAGEIFS('Score Data'!$J$2:$J$195,'Score Data'!$E$2:$E$195,"SC"),"—")</f>
        <v>5.8571428571428568</v>
      </c>
      <c r="I7" s="48">
        <f>IFERROR(AVERAGEIFS('Score Data'!$J$2:$J$195,'Score Data'!$E$2:$E$195,"LC+MC"),"—")</f>
        <v>6.4883720930232558</v>
      </c>
      <c r="J7" s="48">
        <f>IFERROR(AVERAGEIFS('Score Data'!$J$2:$J$195,'Score Data'!$E$2:$E$195,"ELITE"),"—")</f>
        <v>6.9</v>
      </c>
      <c r="K7" s="48">
        <f>IFERROR(AVERAGEIFS('Score Data'!$J$2:$J$195,'Score Data'!$B$2:$B$195,"PM"),"—")</f>
        <v>6.6707317073170733</v>
      </c>
      <c r="L7" s="48">
        <f>IFERROR(AVERAGEIFS('Score Data'!$J$2:$J$195,'Score Data'!$B$2:$B$195,"IB"),"—")</f>
        <v>6</v>
      </c>
    </row>
    <row r="8" spans="1:12" x14ac:dyDescent="0.35">
      <c r="A8" s="22" t="s">
        <v>1783</v>
      </c>
      <c r="B8" s="22">
        <f>COUNT('Score Data'!$K$2:$K$195)</f>
        <v>138</v>
      </c>
      <c r="C8" s="48">
        <f>AVERAGE('Score Data'!$K$2:$K$195)</f>
        <v>6.5</v>
      </c>
      <c r="D8" s="47">
        <f>COUNTIF('Score Data'!$K$2:$K$195,"&lt;=6")/B8</f>
        <v>0.39130434782608697</v>
      </c>
      <c r="E8" s="47">
        <f>(COUNTIF('Score Data'!$K$2:$K$195,"&lt;=8")-COUNTIF('Score Data'!$K$2:$K$195,"&lt;=6"))/B8</f>
        <v>0.47101449275362317</v>
      </c>
      <c r="F8" s="47">
        <f>COUNTIF('Score Data'!$K$2:$K$195,"&gt;=9")/B8</f>
        <v>0.13768115942028986</v>
      </c>
      <c r="G8" s="25">
        <f t="shared" si="0"/>
        <v>-0.22680412371134029</v>
      </c>
      <c r="H8" s="48">
        <f>IFERROR(AVERAGEIFS('Score Data'!$K$2:$K$195,'Score Data'!$E$2:$E$195,"SC"),"—")</f>
        <v>6.6333333333333337</v>
      </c>
      <c r="I8" s="48">
        <f>IFERROR(AVERAGEIFS('Score Data'!$K$2:$K$195,'Score Data'!$E$2:$E$195,"LC+MC"),"—")</f>
        <v>6.5283018867924527</v>
      </c>
      <c r="J8" s="48">
        <f>IFERROR(AVERAGEIFS('Score Data'!$K$2:$K$195,'Score Data'!$E$2:$E$195,"ELITE"),"—")</f>
        <v>6.4</v>
      </c>
      <c r="K8" s="48">
        <f>IFERROR(AVERAGEIFS('Score Data'!$K$2:$K$195,'Score Data'!$B$2:$B$195,"PM"),"—")</f>
        <v>6.5315315315315319</v>
      </c>
      <c r="L8" s="48">
        <f>IFERROR(AVERAGEIFS('Score Data'!$K$2:$K$195,'Score Data'!$B$2:$B$195,"IB"),"—")</f>
        <v>6.3703703703703702</v>
      </c>
    </row>
    <row r="9" spans="1:12" x14ac:dyDescent="0.35">
      <c r="A9" s="22" t="s">
        <v>1784</v>
      </c>
      <c r="B9" s="22">
        <f>COUNT('Score Data'!$L$2:$L$195)</f>
        <v>145</v>
      </c>
      <c r="C9" s="48">
        <f>AVERAGE('Score Data'!$L$2:$L$195)</f>
        <v>6.8896551724137929</v>
      </c>
      <c r="D9" s="47">
        <f>COUNTIF('Score Data'!$L$2:$L$195,"&lt;=6")/B9</f>
        <v>0.30344827586206896</v>
      </c>
      <c r="E9" s="47">
        <f>(COUNTIF('Score Data'!$L$2:$L$195,"&lt;=8")-COUNTIF('Score Data'!$L$2:$L$195,"&lt;=6"))/B9</f>
        <v>0.55862068965517242</v>
      </c>
      <c r="F9" s="47">
        <f>COUNTIF('Score Data'!$L$2:$L$195,"&gt;=9")/B9</f>
        <v>0.13793103448275862</v>
      </c>
      <c r="G9" s="25">
        <f t="shared" si="0"/>
        <v>0.16285104870245259</v>
      </c>
      <c r="H9" s="48">
        <f>IFERROR(AVERAGEIFS('Score Data'!$L$2:$L$195,'Score Data'!$E$2:$E$195,"SC"),"—")</f>
        <v>7.3703703703703702</v>
      </c>
      <c r="I9" s="48">
        <f>IFERROR(AVERAGEIFS('Score Data'!$L$2:$L$195,'Score Data'!$E$2:$E$195,"LC+MC"),"—")</f>
        <v>6.6140350877192979</v>
      </c>
      <c r="J9" s="48">
        <f>IFERROR(AVERAGEIFS('Score Data'!$L$2:$L$195,'Score Data'!$E$2:$E$195,"ELITE"),"—")</f>
        <v>6.9344262295081966</v>
      </c>
      <c r="K9" s="48">
        <f>IFERROR(AVERAGEIFS('Score Data'!$L$2:$L$195,'Score Data'!$B$2:$B$195,"PM"),"—")</f>
        <v>6.8407079646017701</v>
      </c>
      <c r="L9" s="48">
        <f>IFERROR(AVERAGEIFS('Score Data'!$L$2:$L$195,'Score Data'!$B$2:$B$195,"IB"),"—")</f>
        <v>7.0625</v>
      </c>
    </row>
    <row r="10" spans="1:12" x14ac:dyDescent="0.35">
      <c r="A10" s="22" t="s">
        <v>1785</v>
      </c>
      <c r="B10" s="22">
        <f>COUNT('Score Data'!$M$2:$M$195)</f>
        <v>179</v>
      </c>
      <c r="C10" s="48">
        <f>AVERAGE('Score Data'!$M$2:$M$195)</f>
        <v>7.7374301675977657</v>
      </c>
      <c r="D10" s="47">
        <f>COUNTIF('Score Data'!$M$2:$M$195,"&lt;=6")/B10</f>
        <v>0.18435754189944134</v>
      </c>
      <c r="E10" s="47">
        <f>(COUNTIF('Score Data'!$M$2:$M$195,"&lt;=8")-COUNTIF('Score Data'!$M$2:$M$195,"&lt;=6"))/B10</f>
        <v>0.51955307262569828</v>
      </c>
      <c r="F10" s="47">
        <f>COUNTIF('Score Data'!$M$2:$M$195,"&gt;=9")/B10</f>
        <v>0.29608938547486036</v>
      </c>
      <c r="G10" s="25">
        <f t="shared" si="0"/>
        <v>1.0106260438864254</v>
      </c>
      <c r="H10" s="48">
        <f>IFERROR(AVERAGEIFS('Score Data'!$M$2:$M$195,'Score Data'!$E$2:$E$195,"SC"),"—")</f>
        <v>7.6111111111111107</v>
      </c>
      <c r="I10" s="48">
        <f>IFERROR(AVERAGEIFS('Score Data'!$M$2:$M$195,'Score Data'!$E$2:$E$195,"LC+MC"),"—")</f>
        <v>8.0952380952380949</v>
      </c>
      <c r="J10" s="48">
        <f>IFERROR(AVERAGEIFS('Score Data'!$M$2:$M$195,'Score Data'!$E$2:$E$195,"ELITE"),"—")</f>
        <v>7.5125000000000002</v>
      </c>
      <c r="K10" s="48">
        <f>IFERROR(AVERAGEIFS('Score Data'!$M$2:$M$195,'Score Data'!$B$2:$B$195,"PM"),"—")</f>
        <v>7.8428571428571425</v>
      </c>
      <c r="L10" s="48">
        <f>IFERROR(AVERAGEIFS('Score Data'!$M$2:$M$195,'Score Data'!$B$2:$B$195,"IB"),"—")</f>
        <v>7.3589743589743586</v>
      </c>
    </row>
    <row r="11" spans="1:12" x14ac:dyDescent="0.35">
      <c r="A11" s="22" t="s">
        <v>1786</v>
      </c>
      <c r="B11" s="22">
        <f>COUNT('Score Data'!$N$2:$N$195)</f>
        <v>193</v>
      </c>
      <c r="C11" s="48">
        <f>AVERAGE('Score Data'!$N$2:$N$195)</f>
        <v>7.4766839378238341</v>
      </c>
      <c r="D11" s="47">
        <f>COUNTIF('Score Data'!$N$2:$N$195,"&lt;=6")/B11</f>
        <v>0.23834196891191708</v>
      </c>
      <c r="E11" s="47">
        <f>(COUNTIF('Score Data'!$N$2:$N$195,"&lt;=8")-COUNTIF('Score Data'!$N$2:$N$195,"&lt;=6"))/B11</f>
        <v>0.40414507772020725</v>
      </c>
      <c r="F11" s="47">
        <f>COUNTIF('Score Data'!$N$2:$N$195,"&gt;=9")/B11</f>
        <v>0.35751295336787564</v>
      </c>
      <c r="G11" s="25">
        <f t="shared" si="0"/>
        <v>0.74987981411249383</v>
      </c>
      <c r="H11" s="48">
        <f>IFERROR(AVERAGEIFS('Score Data'!$N$2:$N$195,'Score Data'!$E$2:$E$195,"SC"),"—")</f>
        <v>7.3243243243243246</v>
      </c>
      <c r="I11" s="48">
        <f>IFERROR(AVERAGEIFS('Score Data'!$N$2:$N$195,'Score Data'!$E$2:$E$195,"LC+MC"),"—")</f>
        <v>7.2318840579710146</v>
      </c>
      <c r="J11" s="48">
        <f>IFERROR(AVERAGEIFS('Score Data'!$N$2:$N$195,'Score Data'!$E$2:$E$195,"ELITE"),"—")</f>
        <v>7.735632183908046</v>
      </c>
      <c r="K11" s="48">
        <f>IFERROR(AVERAGEIFS('Score Data'!$N$2:$N$195,'Score Data'!$B$2:$B$195,"PM"),"—")</f>
        <v>7.4563758389261743</v>
      </c>
      <c r="L11" s="48">
        <f>IFERROR(AVERAGEIFS('Score Data'!$N$2:$N$195,'Score Data'!$B$2:$B$195,"IB"),"—")</f>
        <v>7.5116279069767442</v>
      </c>
    </row>
    <row r="13" spans="1:12" x14ac:dyDescent="0.35">
      <c r="A13" s="16" t="s">
        <v>1787</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
  <sheetViews>
    <sheetView zoomScaleNormal="100" workbookViewId="0"/>
  </sheetViews>
  <sheetFormatPr defaultColWidth="8.6328125" defaultRowHeight="14.5" x14ac:dyDescent="0.35"/>
  <cols>
    <col min="1" max="1" width="19" customWidth="1"/>
    <col min="2" max="2" width="6" customWidth="1"/>
    <col min="3" max="3" width="14" customWidth="1"/>
    <col min="4" max="4" width="13" customWidth="1"/>
    <col min="5" max="5" width="14" customWidth="1"/>
    <col min="6" max="7" width="11" customWidth="1"/>
    <col min="8" max="9" width="9" customWidth="1"/>
    <col min="10" max="11" width="12" customWidth="1"/>
    <col min="12" max="12" width="11" customWidth="1"/>
  </cols>
  <sheetData>
    <row r="1" spans="1:12" ht="16.5" x14ac:dyDescent="0.35">
      <c r="A1" s="40" t="s">
        <v>1788</v>
      </c>
    </row>
    <row r="3" spans="1:12" ht="26" x14ac:dyDescent="0.35">
      <c r="A3" s="38" t="s">
        <v>1789</v>
      </c>
      <c r="B3" s="38" t="s">
        <v>1768</v>
      </c>
      <c r="C3" s="38" t="s">
        <v>1790</v>
      </c>
      <c r="D3" s="38" t="s">
        <v>1791</v>
      </c>
      <c r="E3" s="38" t="s">
        <v>1792</v>
      </c>
      <c r="F3" s="38" t="s">
        <v>1793</v>
      </c>
      <c r="G3" s="38" t="s">
        <v>1794</v>
      </c>
      <c r="H3" s="38" t="s">
        <v>1795</v>
      </c>
      <c r="I3" s="38" t="s">
        <v>1796</v>
      </c>
      <c r="J3" s="38" t="s">
        <v>1797</v>
      </c>
      <c r="K3" s="38" t="s">
        <v>1798</v>
      </c>
      <c r="L3" s="38" t="s">
        <v>1799</v>
      </c>
    </row>
    <row r="4" spans="1:12" x14ac:dyDescent="0.35">
      <c r="A4" s="22" t="s">
        <v>206</v>
      </c>
      <c r="B4" s="22">
        <f>COUNTIFS('Score Data'!$N$2:$N$195,"&gt;=1",'Score Data'!$E$2:$E$195,"SC")</f>
        <v>37</v>
      </c>
      <c r="C4" s="22">
        <f>COUNTIFS('Score Data'!$N$2:$N$195,"&gt;=9",'Score Data'!$E$2:$E$195,"SC")</f>
        <v>15</v>
      </c>
      <c r="D4" s="22">
        <f>COUNTIFS('Score Data'!$N$2:$N$195,"&gt;=7",'Score Data'!$E$2:$E$195,"SC")-COUNTIFS('Score Data'!$N$2:$N$195,"&gt;=9",'Score Data'!$E$2:$E$195,"SC")</f>
        <v>10</v>
      </c>
      <c r="E4" s="22">
        <f>COUNTIFS('Score Data'!$N$2:$N$195,"&lt;=6",'Score Data'!$E$2:$E$195,"SC")</f>
        <v>12</v>
      </c>
      <c r="F4" s="47">
        <f>C4/B4</f>
        <v>0.40540540540540543</v>
      </c>
      <c r="G4" s="47">
        <f>E4/B4</f>
        <v>0.32432432432432434</v>
      </c>
      <c r="H4" s="20">
        <f>(C4-E4)/B4*100</f>
        <v>8.1081081081081088</v>
      </c>
      <c r="I4" s="22">
        <v>0.1</v>
      </c>
      <c r="J4" s="20">
        <f>H4*I4</f>
        <v>0.81081081081081097</v>
      </c>
      <c r="K4" s="20">
        <v>45.1</v>
      </c>
      <c r="L4" s="21">
        <f>H4-K4</f>
        <v>-36.991891891891896</v>
      </c>
    </row>
    <row r="5" spans="1:12" x14ac:dyDescent="0.35">
      <c r="A5" s="22" t="s">
        <v>140</v>
      </c>
      <c r="B5" s="22">
        <f>COUNTIFS('Score Data'!$N$2:$N$195,"&gt;=1",'Score Data'!$E$2:$E$195,"LC+MC")</f>
        <v>69</v>
      </c>
      <c r="C5" s="22">
        <f>COUNTIFS('Score Data'!$N$2:$N$195,"&gt;=9",'Score Data'!$E$2:$E$195,"LC+MC")</f>
        <v>24</v>
      </c>
      <c r="D5" s="22">
        <f>COUNTIFS('Score Data'!$N$2:$N$195,"&gt;=7",'Score Data'!$E$2:$E$195,"LC+MC")-COUNTIFS('Score Data'!$N$2:$N$195,"&gt;=9",'Score Data'!$E$2:$E$195,"LC+MC")</f>
        <v>25</v>
      </c>
      <c r="E5" s="22">
        <f>COUNTIFS('Score Data'!$N$2:$N$195,"&lt;=6",'Score Data'!$E$2:$E$195,"LC+MC")</f>
        <v>20</v>
      </c>
      <c r="F5" s="47">
        <f>C5/B5</f>
        <v>0.34782608695652173</v>
      </c>
      <c r="G5" s="47">
        <f>E5/B5</f>
        <v>0.28985507246376813</v>
      </c>
      <c r="H5" s="20">
        <f>(C5-E5)/B5*100</f>
        <v>5.7971014492753623</v>
      </c>
      <c r="I5" s="22">
        <v>0.3</v>
      </c>
      <c r="J5" s="20">
        <f>H5*I5</f>
        <v>1.7391304347826086</v>
      </c>
      <c r="K5" s="20">
        <v>30.4</v>
      </c>
      <c r="L5" s="21">
        <f>H5-K5</f>
        <v>-24.602898550724635</v>
      </c>
    </row>
    <row r="6" spans="1:12" x14ac:dyDescent="0.35">
      <c r="A6" s="22" t="s">
        <v>160</v>
      </c>
      <c r="B6" s="22">
        <f>COUNTIFS('Score Data'!$N$2:$N$195,"&gt;=1",'Score Data'!$E$2:$E$195,"ELITE")</f>
        <v>87</v>
      </c>
      <c r="C6" s="22">
        <f>COUNTIFS('Score Data'!$N$2:$N$195,"&gt;=9",'Score Data'!$E$2:$E$195,"ELITE")</f>
        <v>30</v>
      </c>
      <c r="D6" s="22">
        <f>COUNTIFS('Score Data'!$N$2:$N$195,"&gt;=7",'Score Data'!$E$2:$E$195,"ELITE")-COUNTIFS('Score Data'!$N$2:$N$195,"&gt;=9",'Score Data'!$E$2:$E$195,"ELITE")</f>
        <v>43</v>
      </c>
      <c r="E6" s="22">
        <f>COUNTIFS('Score Data'!$N$2:$N$195,"&lt;=6",'Score Data'!$E$2:$E$195,"ELITE")</f>
        <v>14</v>
      </c>
      <c r="F6" s="47">
        <f>C6/B6</f>
        <v>0.34482758620689657</v>
      </c>
      <c r="G6" s="47">
        <f>E6/B6</f>
        <v>0.16091954022988506</v>
      </c>
      <c r="H6" s="20">
        <f>(C6-E6)/B6*100</f>
        <v>18.390804597701148</v>
      </c>
      <c r="I6" s="22">
        <v>0.6</v>
      </c>
      <c r="J6" s="20">
        <f>H6*I6</f>
        <v>11.034482758620689</v>
      </c>
      <c r="K6" s="20">
        <v>27.5</v>
      </c>
      <c r="L6" s="21">
        <f>H6-K6</f>
        <v>-9.1091954022988517</v>
      </c>
    </row>
    <row r="7" spans="1:12" x14ac:dyDescent="0.35">
      <c r="A7" s="18" t="s">
        <v>1800</v>
      </c>
      <c r="B7" s="22">
        <f>COUNTIF('Score Data'!$N$2:$N$195,"&gt;=1")</f>
        <v>193</v>
      </c>
      <c r="C7" s="22">
        <f>COUNTIF('Score Data'!$N$2:$N$195,"&gt;=9")</f>
        <v>69</v>
      </c>
      <c r="D7" s="22">
        <f>COUNTIF('Score Data'!$N$2:$N$195,"&gt;=7")-COUNTIF('Score Data'!$N$2:$N$195,"&gt;=9")</f>
        <v>78</v>
      </c>
      <c r="E7" s="22">
        <f>COUNTIF('Score Data'!$N$2:$N$195,"&lt;=6")</f>
        <v>46</v>
      </c>
      <c r="F7" s="47">
        <f>C7/B7</f>
        <v>0.35751295336787564</v>
      </c>
      <c r="G7" s="47">
        <f>E7/B7</f>
        <v>0.23834196891191708</v>
      </c>
      <c r="H7" s="20">
        <f>(C7-E7)/B7*100</f>
        <v>11.917098445595855</v>
      </c>
      <c r="I7" s="22"/>
      <c r="J7" s="22"/>
      <c r="K7" s="22"/>
      <c r="L7" s="22"/>
    </row>
    <row r="8" spans="1:12" x14ac:dyDescent="0.35">
      <c r="A8" s="18" t="s">
        <v>1801</v>
      </c>
      <c r="B8" s="22"/>
      <c r="C8" s="22"/>
      <c r="D8" s="22"/>
      <c r="E8" s="22"/>
      <c r="F8" s="22"/>
      <c r="G8" s="22"/>
      <c r="H8" s="20">
        <f>SUMPRODUCT(H4:H6,I4:I6)</f>
        <v>13.584424004214108</v>
      </c>
      <c r="I8" s="22"/>
      <c r="J8" s="22"/>
      <c r="K8" s="20">
        <v>30.1</v>
      </c>
      <c r="L8" s="21">
        <f>H8-K8</f>
        <v>-16.515575995785895</v>
      </c>
    </row>
    <row r="10" spans="1:12" x14ac:dyDescent="0.35">
      <c r="A10" s="16" t="s">
        <v>1802</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69"/>
  <sheetViews>
    <sheetView zoomScaleNormal="100" workbookViewId="0"/>
  </sheetViews>
  <sheetFormatPr defaultColWidth="8.6328125" defaultRowHeight="14.5" x14ac:dyDescent="0.35"/>
  <cols>
    <col min="1" max="1" width="38" customWidth="1"/>
    <col min="2" max="3" width="16" customWidth="1"/>
    <col min="4" max="4" width="14" customWidth="1"/>
    <col min="5" max="5" width="60" customWidth="1"/>
  </cols>
  <sheetData>
    <row r="1" spans="1:5" ht="16.5" x14ac:dyDescent="0.35">
      <c r="A1" s="40" t="s">
        <v>1803</v>
      </c>
    </row>
    <row r="3" spans="1:5" x14ac:dyDescent="0.35">
      <c r="A3" s="49" t="s">
        <v>1804</v>
      </c>
    </row>
    <row r="4" spans="1:5" x14ac:dyDescent="0.35">
      <c r="A4" s="38" t="s">
        <v>1767</v>
      </c>
      <c r="B4" s="38" t="s">
        <v>1769</v>
      </c>
      <c r="C4" s="38" t="s">
        <v>1805</v>
      </c>
      <c r="D4" s="38" t="s">
        <v>1770</v>
      </c>
      <c r="E4" s="38" t="s">
        <v>1806</v>
      </c>
    </row>
    <row r="5" spans="1:5" x14ac:dyDescent="0.35">
      <c r="A5" s="22" t="s">
        <v>1779</v>
      </c>
      <c r="B5" s="48">
        <f>'Section Scores'!C4</f>
        <v>6.7268041237113403</v>
      </c>
      <c r="C5" s="25">
        <f>'Section Scores'!G4</f>
        <v>0</v>
      </c>
      <c r="D5" s="47">
        <f>'Section Scores'!D4</f>
        <v>0.32989690721649484</v>
      </c>
      <c r="E5" s="22" t="s">
        <v>1807</v>
      </c>
    </row>
    <row r="6" spans="1:5" x14ac:dyDescent="0.35">
      <c r="A6" s="22" t="s">
        <v>1780</v>
      </c>
      <c r="B6" s="48">
        <f>'Section Scores'!C5</f>
        <v>8.5510204081632661</v>
      </c>
      <c r="C6" s="25">
        <f>'Section Scores'!G5</f>
        <v>1.8242162844519259</v>
      </c>
      <c r="D6" s="47">
        <f>'Section Scores'!D5</f>
        <v>4.0816326530612242E-2</v>
      </c>
      <c r="E6" s="22" t="s">
        <v>1808</v>
      </c>
    </row>
    <row r="7" spans="1:5" x14ac:dyDescent="0.35">
      <c r="A7" s="22" t="s">
        <v>1781</v>
      </c>
      <c r="B7" s="48">
        <f>'Section Scores'!C6</f>
        <v>7.1575342465753424</v>
      </c>
      <c r="C7" s="25">
        <f>'Section Scores'!G6</f>
        <v>0.43073012286400214</v>
      </c>
      <c r="D7" s="47">
        <f>'Section Scores'!D6</f>
        <v>0.22602739726027396</v>
      </c>
      <c r="E7" s="22" t="s">
        <v>1809</v>
      </c>
    </row>
    <row r="8" spans="1:5" x14ac:dyDescent="0.35">
      <c r="A8" s="22" t="s">
        <v>1782</v>
      </c>
      <c r="B8" s="48">
        <f>'Section Scores'!C7</f>
        <v>6.5670103092783503</v>
      </c>
      <c r="C8" s="25">
        <f>'Section Scores'!G7</f>
        <v>-0.15979381443299001</v>
      </c>
      <c r="D8" s="47">
        <f>'Section Scores'!D7</f>
        <v>0.38144329896907214</v>
      </c>
      <c r="E8" s="22" t="s">
        <v>1810</v>
      </c>
    </row>
    <row r="9" spans="1:5" x14ac:dyDescent="0.35">
      <c r="A9" s="22" t="s">
        <v>1783</v>
      </c>
      <c r="B9" s="48">
        <f>'Section Scores'!C8</f>
        <v>6.5</v>
      </c>
      <c r="C9" s="25">
        <f>'Section Scores'!G8</f>
        <v>-0.22680412371134029</v>
      </c>
      <c r="D9" s="47">
        <f>'Section Scores'!D8</f>
        <v>0.39130434782608697</v>
      </c>
      <c r="E9" s="22" t="s">
        <v>1811</v>
      </c>
    </row>
    <row r="10" spans="1:5" x14ac:dyDescent="0.35">
      <c r="A10" s="22" t="s">
        <v>1784</v>
      </c>
      <c r="B10" s="48">
        <f>'Section Scores'!C9</f>
        <v>6.8896551724137929</v>
      </c>
      <c r="C10" s="25">
        <f>'Section Scores'!G9</f>
        <v>0.16285104870245259</v>
      </c>
      <c r="D10" s="47">
        <f>'Section Scores'!D9</f>
        <v>0.30344827586206896</v>
      </c>
      <c r="E10" s="22" t="s">
        <v>1812</v>
      </c>
    </row>
    <row r="11" spans="1:5" x14ac:dyDescent="0.35">
      <c r="A11" s="22" t="s">
        <v>1785</v>
      </c>
      <c r="B11" s="48">
        <f>'Section Scores'!C10</f>
        <v>7.7374301675977657</v>
      </c>
      <c r="C11" s="25">
        <f>'Section Scores'!G10</f>
        <v>1.0106260438864254</v>
      </c>
      <c r="D11" s="47">
        <f>'Section Scores'!D10</f>
        <v>0.18435754189944134</v>
      </c>
      <c r="E11" s="22" t="s">
        <v>1813</v>
      </c>
    </row>
    <row r="12" spans="1:5" x14ac:dyDescent="0.35">
      <c r="A12" s="22" t="s">
        <v>1786</v>
      </c>
      <c r="B12" s="48">
        <f>'Section Scores'!C11</f>
        <v>7.4766839378238341</v>
      </c>
      <c r="C12" s="25">
        <f>'Section Scores'!G11</f>
        <v>0.74987981411249383</v>
      </c>
      <c r="D12" s="47">
        <f>'Section Scores'!D11</f>
        <v>0.23834196891191708</v>
      </c>
      <c r="E12" s="22" t="s">
        <v>1814</v>
      </c>
    </row>
    <row r="14" spans="1:5" x14ac:dyDescent="0.35">
      <c r="A14" s="49" t="s">
        <v>1815</v>
      </c>
    </row>
    <row r="15" spans="1:5" x14ac:dyDescent="0.35">
      <c r="A15" s="38" t="s">
        <v>1767</v>
      </c>
      <c r="B15" s="38" t="s">
        <v>1774</v>
      </c>
      <c r="C15" s="38" t="s">
        <v>1776</v>
      </c>
      <c r="D15" s="38" t="s">
        <v>1816</v>
      </c>
      <c r="E15" s="38" t="s">
        <v>1806</v>
      </c>
    </row>
    <row r="16" spans="1:5" x14ac:dyDescent="0.35">
      <c r="A16" s="22" t="s">
        <v>1779</v>
      </c>
      <c r="B16" s="48">
        <f>'Section Scores'!H4</f>
        <v>7.1081081081081079</v>
      </c>
      <c r="C16" s="48">
        <f>'Section Scores'!J4</f>
        <v>6.8181818181818183</v>
      </c>
      <c r="D16" s="25">
        <f>IFERROR('Section Scores'!J4-'Section Scores'!H4,"—")</f>
        <v>-0.28992628992628955</v>
      </c>
      <c r="E16" s="50" t="s">
        <v>1817</v>
      </c>
    </row>
    <row r="17" spans="1:5" x14ac:dyDescent="0.35">
      <c r="A17" s="22" t="s">
        <v>1780</v>
      </c>
      <c r="B17" s="48">
        <f>'Section Scores'!H5</f>
        <v>8.4166666666666661</v>
      </c>
      <c r="C17" s="48">
        <f>'Section Scores'!J5</f>
        <v>8.5757575757575761</v>
      </c>
      <c r="D17" s="25">
        <f>IFERROR('Section Scores'!J5-'Section Scores'!H5,"—")</f>
        <v>0.15909090909091006</v>
      </c>
    </row>
    <row r="18" spans="1:5" x14ac:dyDescent="0.35">
      <c r="A18" s="22" t="s">
        <v>1781</v>
      </c>
      <c r="B18" s="48">
        <f>'Section Scores'!H6</f>
        <v>7.2</v>
      </c>
      <c r="C18" s="48">
        <f>'Section Scores'!J6</f>
        <v>7.15625</v>
      </c>
      <c r="D18" s="25">
        <f>IFERROR('Section Scores'!J6-'Section Scores'!H6,"—")</f>
        <v>-4.3750000000000178E-2</v>
      </c>
    </row>
    <row r="19" spans="1:5" x14ac:dyDescent="0.35">
      <c r="A19" s="22" t="s">
        <v>1782</v>
      </c>
      <c r="B19" s="48">
        <f>'Section Scores'!H7</f>
        <v>5.8571428571428568</v>
      </c>
      <c r="C19" s="48">
        <f>'Section Scores'!J7</f>
        <v>6.9</v>
      </c>
      <c r="D19" s="25">
        <f>IFERROR('Section Scores'!J7-'Section Scores'!H7,"—")</f>
        <v>1.0428571428571436</v>
      </c>
    </row>
    <row r="20" spans="1:5" x14ac:dyDescent="0.35">
      <c r="A20" s="22" t="s">
        <v>1783</v>
      </c>
      <c r="B20" s="48">
        <f>'Section Scores'!H8</f>
        <v>6.6333333333333337</v>
      </c>
      <c r="C20" s="48">
        <f>'Section Scores'!J8</f>
        <v>6.4</v>
      </c>
      <c r="D20" s="25">
        <f>IFERROR('Section Scores'!J8-'Section Scores'!H8,"—")</f>
        <v>-0.23333333333333339</v>
      </c>
    </row>
    <row r="21" spans="1:5" x14ac:dyDescent="0.35">
      <c r="A21" s="22" t="s">
        <v>1784</v>
      </c>
      <c r="B21" s="48">
        <f>'Section Scores'!H9</f>
        <v>7.3703703703703702</v>
      </c>
      <c r="C21" s="48">
        <f>'Section Scores'!J9</f>
        <v>6.9344262295081966</v>
      </c>
      <c r="D21" s="25">
        <f>IFERROR('Section Scores'!J9-'Section Scores'!H9,"—")</f>
        <v>-0.43594414086217359</v>
      </c>
    </row>
    <row r="22" spans="1:5" x14ac:dyDescent="0.35">
      <c r="A22" s="22" t="s">
        <v>1785</v>
      </c>
      <c r="B22" s="48">
        <f>'Section Scores'!H10</f>
        <v>7.6111111111111107</v>
      </c>
      <c r="C22" s="48">
        <f>'Section Scores'!J10</f>
        <v>7.5125000000000002</v>
      </c>
      <c r="D22" s="25">
        <f>IFERROR('Section Scores'!J10-'Section Scores'!H10,"—")</f>
        <v>-9.8611111111110539E-2</v>
      </c>
    </row>
    <row r="23" spans="1:5" x14ac:dyDescent="0.35">
      <c r="A23" s="22" t="s">
        <v>1786</v>
      </c>
      <c r="B23" s="48">
        <f>'Section Scores'!H11</f>
        <v>7.3243243243243246</v>
      </c>
      <c r="C23" s="48">
        <f>'Section Scores'!J11</f>
        <v>7.735632183908046</v>
      </c>
      <c r="D23" s="25">
        <f>IFERROR('Section Scores'!J11-'Section Scores'!H11,"—")</f>
        <v>0.4113078595837214</v>
      </c>
    </row>
    <row r="25" spans="1:5" x14ac:dyDescent="0.35">
      <c r="A25" s="49" t="s">
        <v>1818</v>
      </c>
    </row>
    <row r="26" spans="1:5" ht="26" x14ac:dyDescent="0.35">
      <c r="A26" s="38" t="s">
        <v>1789</v>
      </c>
      <c r="B26" s="38" t="s">
        <v>1768</v>
      </c>
      <c r="C26" s="38" t="s">
        <v>1819</v>
      </c>
      <c r="D26" s="38" t="s">
        <v>1820</v>
      </c>
      <c r="E26" s="38" t="s">
        <v>1821</v>
      </c>
    </row>
    <row r="27" spans="1:5" x14ac:dyDescent="0.35">
      <c r="A27" s="22" t="s">
        <v>136</v>
      </c>
      <c r="B27" s="22">
        <f>COUNTIF('Score Data'!$B$2:$B$195,"PM")</f>
        <v>150</v>
      </c>
      <c r="C27" s="48">
        <f>AVERAGEIFS('Score Data'!$G$2:$G$195,'Score Data'!$B$2:$B$195,"PM")</f>
        <v>6.7666666666666666</v>
      </c>
      <c r="D27" s="48">
        <f>AVERAGEIFS('Score Data'!$N$2:$N$195,'Score Data'!$B$2:$B$195,"PM")</f>
        <v>7.4563758389261743</v>
      </c>
      <c r="E27" s="20">
        <f>(COUNTIFS('Score Data'!$N$2:$N$195,"&gt;=9",'Score Data'!$B$2:$B$195,"PM")-COUNTIFS('Score Data'!$N$2:$N$195,"&lt;=6",'Score Data'!$B$2:$B$195,"PM"))/COUNTIFS('Score Data'!$N$2:$N$195,"&gt;=1",'Score Data'!$B$2:$B$195,"PM")*100</f>
        <v>13.422818791946309</v>
      </c>
    </row>
    <row r="28" spans="1:5" x14ac:dyDescent="0.35">
      <c r="A28" s="22" t="s">
        <v>175</v>
      </c>
      <c r="B28" s="22">
        <f>COUNTIF('Score Data'!$B$2:$B$195,"IB")</f>
        <v>43</v>
      </c>
      <c r="C28" s="48">
        <f>AVERAGEIFS('Score Data'!$G$2:$G$195,'Score Data'!$B$2:$B$195,"IB")</f>
        <v>6.558139534883721</v>
      </c>
      <c r="D28" s="48">
        <f>AVERAGEIFS('Score Data'!$N$2:$N$195,'Score Data'!$B$2:$B$195,"IB")</f>
        <v>7.5116279069767442</v>
      </c>
      <c r="E28" s="20">
        <f>(COUNTIFS('Score Data'!$N$2:$N$195,"&gt;=9",'Score Data'!$B$2:$B$195,"IB")-COUNTIFS('Score Data'!$N$2:$N$195,"&lt;=6",'Score Data'!$B$2:$B$195,"IB"))/COUNTIFS('Score Data'!$N$2:$N$195,"&gt;=1",'Score Data'!$B$2:$B$195,"IB")*100</f>
        <v>4.6511627906976747</v>
      </c>
    </row>
    <row r="29" spans="1:5" x14ac:dyDescent="0.35">
      <c r="A29" s="22" t="s">
        <v>159</v>
      </c>
      <c r="B29" s="22">
        <f>COUNTIF('Score Data'!$D$2:$D$195,"Ont")</f>
        <v>100</v>
      </c>
      <c r="C29" s="48">
        <f>AVERAGEIFS('Score Data'!$G$2:$G$195,'Score Data'!$D$2:$D$195,"Ont")</f>
        <v>6.77</v>
      </c>
      <c r="D29" s="48">
        <f>AVERAGEIFS('Score Data'!$N$2:$N$195,'Score Data'!$D$2:$D$195,"Ont")</f>
        <v>7.5858585858585856</v>
      </c>
      <c r="E29" s="20">
        <f>(COUNTIFS('Score Data'!$N$2:$N$195,"&gt;=9",'Score Data'!$D$2:$D$195,"Ont")-COUNTIFS('Score Data'!$N$2:$N$195,"&lt;=6",'Score Data'!$D$2:$D$195,"Ont"))/COUNTIFS('Score Data'!$N$2:$N$195,"&gt;=1",'Score Data'!$D$2:$D$195,"Ont")*100</f>
        <v>14.14141414141414</v>
      </c>
    </row>
    <row r="30" spans="1:5" x14ac:dyDescent="0.35">
      <c r="A30" s="22" t="s">
        <v>176</v>
      </c>
      <c r="B30" s="22">
        <f>COUNTIF('Score Data'!$D$2:$D$195,"East")</f>
        <v>54</v>
      </c>
      <c r="C30" s="48">
        <f>AVERAGEIFS('Score Data'!$G$2:$G$195,'Score Data'!$D$2:$D$195,"East")</f>
        <v>6.7777777777777777</v>
      </c>
      <c r="D30" s="48">
        <f>AVERAGEIFS('Score Data'!$N$2:$N$195,'Score Data'!$D$2:$D$195,"East")</f>
        <v>7.5370370370370372</v>
      </c>
      <c r="E30" s="20">
        <f>(COUNTIFS('Score Data'!$N$2:$N$195,"&gt;=9",'Score Data'!$D$2:$D$195,"East")-COUNTIFS('Score Data'!$N$2:$N$195,"&lt;=6",'Score Data'!$D$2:$D$195,"East"))/COUNTIFS('Score Data'!$N$2:$N$195,"&gt;=1",'Score Data'!$D$2:$D$195,"East")*100</f>
        <v>9.2592592592592595</v>
      </c>
    </row>
    <row r="31" spans="1:5" x14ac:dyDescent="0.35">
      <c r="A31" s="22" t="s">
        <v>138</v>
      </c>
      <c r="B31" s="22">
        <f>COUNTIF('Score Data'!$D$2:$D$195,"West")</f>
        <v>20</v>
      </c>
      <c r="C31" s="48">
        <f>AVERAGEIFS('Score Data'!$G$2:$G$195,'Score Data'!$D$2:$D$195,"West")</f>
        <v>5.8</v>
      </c>
      <c r="D31" s="48">
        <f>AVERAGEIFS('Score Data'!$N$2:$N$195,'Score Data'!$D$2:$D$195,"West")</f>
        <v>6.4</v>
      </c>
      <c r="E31" s="20">
        <f>(COUNTIFS('Score Data'!$N$2:$N$195,"&gt;=9",'Score Data'!$D$2:$D$195,"West")-COUNTIFS('Score Data'!$N$2:$N$195,"&lt;=6",'Score Data'!$D$2:$D$195,"West"))/COUNTIFS('Score Data'!$N$2:$N$195,"&gt;=1",'Score Data'!$D$2:$D$195,"West")*100</f>
        <v>-10</v>
      </c>
    </row>
    <row r="32" spans="1:5" x14ac:dyDescent="0.35">
      <c r="A32" s="22" t="s">
        <v>219</v>
      </c>
      <c r="B32" s="22">
        <f>COUNTIF('Score Data'!$D$2:$D$195,"Pacific")</f>
        <v>20</v>
      </c>
      <c r="C32" s="48">
        <f>AVERAGEIFS('Score Data'!$G$2:$G$195,'Score Data'!$D$2:$D$195,"Pacific")</f>
        <v>7.3</v>
      </c>
      <c r="D32" s="48">
        <f>AVERAGEIFS('Score Data'!$N$2:$N$195,'Score Data'!$D$2:$D$195,"Pacific")</f>
        <v>7.85</v>
      </c>
      <c r="E32" s="20">
        <f>(COUNTIFS('Score Data'!$N$2:$N$195,"&gt;=9",'Score Data'!$D$2:$D$195,"Pacific")-COUNTIFS('Score Data'!$N$2:$N$195,"&lt;=6",'Score Data'!$D$2:$D$195,"Pacific"))/COUNTIFS('Score Data'!$N$2:$N$195,"&gt;=1",'Score Data'!$D$2:$D$195,"Pacific")*100</f>
        <v>30</v>
      </c>
    </row>
    <row r="34" spans="1:5" x14ac:dyDescent="0.35">
      <c r="A34" s="49" t="s">
        <v>1822</v>
      </c>
    </row>
    <row r="35" spans="1:5" ht="26" x14ac:dyDescent="0.35">
      <c r="A35" s="38" t="s">
        <v>1757</v>
      </c>
      <c r="B35" s="38" t="s">
        <v>1823</v>
      </c>
      <c r="C35" s="38" t="s">
        <v>1824</v>
      </c>
      <c r="D35" s="38" t="s">
        <v>1825</v>
      </c>
      <c r="E35" s="38" t="s">
        <v>7</v>
      </c>
    </row>
    <row r="36" spans="1:5" x14ac:dyDescent="0.35">
      <c r="A36" s="22" t="str">
        <f>'Theme Stats'!A4</f>
        <v>Technology &amp; platform integration</v>
      </c>
      <c r="B36" s="22">
        <f>'Theme Stats'!D4</f>
        <v>85</v>
      </c>
      <c r="C36" s="22">
        <f>'Theme Stats'!B4</f>
        <v>131</v>
      </c>
      <c r="D36" s="22">
        <f>'Theme Stats'!G4</f>
        <v>-46</v>
      </c>
      <c r="E36" s="22" t="str">
        <f t="shared" ref="E36:E55" si="0">IF(D36&gt;=10,"Clear strength",IF(D36&lt;=-10,"Clear pain point",IF(AND(B36&gt;=15,C36&gt;=15),"Contested — strength AND weakness","Neutral / low volume")))</f>
        <v>Clear pain point</v>
      </c>
    </row>
    <row r="37" spans="1:5" x14ac:dyDescent="0.35">
      <c r="A37" s="22" t="str">
        <f>'Theme Stats'!A5</f>
        <v>Responsiveness &amp; turnaround</v>
      </c>
      <c r="B37" s="22">
        <f>'Theme Stats'!D5</f>
        <v>43</v>
      </c>
      <c r="C37" s="22">
        <f>'Theme Stats'!B5</f>
        <v>165</v>
      </c>
      <c r="D37" s="22">
        <f>'Theme Stats'!G5</f>
        <v>-122</v>
      </c>
      <c r="E37" s="22" t="str">
        <f t="shared" si="0"/>
        <v>Clear pain point</v>
      </c>
    </row>
    <row r="38" spans="1:5" x14ac:dyDescent="0.35">
      <c r="A38" s="22" t="str">
        <f>'Theme Stats'!A6</f>
        <v>Other / general</v>
      </c>
      <c r="B38" s="22">
        <f>'Theme Stats'!D6</f>
        <v>91</v>
      </c>
      <c r="C38" s="22">
        <f>'Theme Stats'!B6</f>
        <v>57</v>
      </c>
      <c r="D38" s="22">
        <f>'Theme Stats'!G6</f>
        <v>34</v>
      </c>
      <c r="E38" s="22" t="str">
        <f t="shared" si="0"/>
        <v>Clear strength</v>
      </c>
    </row>
    <row r="39" spans="1:5" x14ac:dyDescent="0.35">
      <c r="A39" s="22" t="str">
        <f>'Theme Stats'!A7</f>
        <v>People, relationships &amp; professionalism</v>
      </c>
      <c r="B39" s="22">
        <f>'Theme Stats'!D7</f>
        <v>92</v>
      </c>
      <c r="C39" s="22">
        <f>'Theme Stats'!B7</f>
        <v>33</v>
      </c>
      <c r="D39" s="22">
        <f>'Theme Stats'!G7</f>
        <v>59</v>
      </c>
      <c r="E39" s="22" t="str">
        <f t="shared" si="0"/>
        <v>Clear strength</v>
      </c>
    </row>
    <row r="40" spans="1:5" x14ac:dyDescent="0.35">
      <c r="A40" s="22" t="str">
        <f>'Theme Stats'!A8</f>
        <v>Client service &amp; support (general)</v>
      </c>
      <c r="B40" s="22">
        <f>'Theme Stats'!D8</f>
        <v>49</v>
      </c>
      <c r="C40" s="22">
        <f>'Theme Stats'!B8</f>
        <v>34</v>
      </c>
      <c r="D40" s="22">
        <f>'Theme Stats'!G8</f>
        <v>15</v>
      </c>
      <c r="E40" s="22" t="str">
        <f t="shared" si="0"/>
        <v>Clear strength</v>
      </c>
    </row>
    <row r="41" spans="1:5" x14ac:dyDescent="0.35">
      <c r="A41" s="22" t="str">
        <f>'Theme Stats'!A9</f>
        <v>Trading &amp; market access</v>
      </c>
      <c r="B41" s="22">
        <f>'Theme Stats'!D9</f>
        <v>41</v>
      </c>
      <c r="C41" s="22">
        <f>'Theme Stats'!B9</f>
        <v>23</v>
      </c>
      <c r="D41" s="22">
        <f>'Theme Stats'!G9</f>
        <v>18</v>
      </c>
      <c r="E41" s="22" t="str">
        <f t="shared" si="0"/>
        <v>Clear strength</v>
      </c>
    </row>
    <row r="42" spans="1:5" x14ac:dyDescent="0.35">
      <c r="A42" s="22" t="str">
        <f>'Theme Stats'!A10</f>
        <v>Knowledge, accuracy &amp; consistency</v>
      </c>
      <c r="B42" s="22">
        <f>'Theme Stats'!D10</f>
        <v>35</v>
      </c>
      <c r="C42" s="22">
        <f>'Theme Stats'!B10</f>
        <v>27</v>
      </c>
      <c r="D42" s="22">
        <f>'Theme Stats'!G10</f>
        <v>8</v>
      </c>
      <c r="E42" s="22" t="str">
        <f t="shared" si="0"/>
        <v>Contested — strength AND weakness</v>
      </c>
    </row>
    <row r="43" spans="1:5" x14ac:dyDescent="0.35">
      <c r="A43" s="22" t="str">
        <f>'Theme Stats'!A11</f>
        <v>Transfers</v>
      </c>
      <c r="B43" s="22">
        <f>'Theme Stats'!D11</f>
        <v>7</v>
      </c>
      <c r="C43" s="22">
        <f>'Theme Stats'!B11</f>
        <v>52</v>
      </c>
      <c r="D43" s="22">
        <f>'Theme Stats'!G11</f>
        <v>-45</v>
      </c>
      <c r="E43" s="22" t="str">
        <f t="shared" si="0"/>
        <v>Clear pain point</v>
      </c>
    </row>
    <row r="44" spans="1:5" x14ac:dyDescent="0.35">
      <c r="A44" s="22" t="str">
        <f>'Theme Stats'!A12</f>
        <v>Reporting, statements &amp; data</v>
      </c>
      <c r="B44" s="22">
        <f>'Theme Stats'!D12</f>
        <v>13</v>
      </c>
      <c r="C44" s="22">
        <f>'Theme Stats'!B12</f>
        <v>39</v>
      </c>
      <c r="D44" s="22">
        <f>'Theme Stats'!G12</f>
        <v>-26</v>
      </c>
      <c r="E44" s="22" t="str">
        <f t="shared" si="0"/>
        <v>Clear pain point</v>
      </c>
    </row>
    <row r="45" spans="1:5" x14ac:dyDescent="0.35">
      <c r="A45" s="22" t="str">
        <f>'Theme Stats'!A13</f>
        <v>Leadership, brand &amp; scale</v>
      </c>
      <c r="B45" s="22">
        <f>'Theme Stats'!D13</f>
        <v>44</v>
      </c>
      <c r="C45" s="22">
        <f>'Theme Stats'!B13</f>
        <v>3</v>
      </c>
      <c r="D45" s="22">
        <f>'Theme Stats'!G13</f>
        <v>41</v>
      </c>
      <c r="E45" s="22" t="str">
        <f t="shared" si="0"/>
        <v>Clear strength</v>
      </c>
    </row>
    <row r="46" spans="1:5" x14ac:dyDescent="0.35">
      <c r="A46" s="22" t="str">
        <f>'Theme Stats'!A14</f>
        <v>Estates &amp; settlements</v>
      </c>
      <c r="B46" s="22">
        <f>'Theme Stats'!D14</f>
        <v>4</v>
      </c>
      <c r="C46" s="22">
        <f>'Theme Stats'!B14</f>
        <v>31</v>
      </c>
      <c r="D46" s="22">
        <f>'Theme Stats'!G14</f>
        <v>-27</v>
      </c>
      <c r="E46" s="22" t="str">
        <f t="shared" si="0"/>
        <v>Clear pain point</v>
      </c>
    </row>
    <row r="47" spans="1:5" x14ac:dyDescent="0.35">
      <c r="A47" s="22" t="str">
        <f>'Theme Stats'!A15</f>
        <v>Communication &amp; proactivity</v>
      </c>
      <c r="B47" s="22">
        <f>'Theme Stats'!D15</f>
        <v>15</v>
      </c>
      <c r="C47" s="22">
        <f>'Theme Stats'!B15</f>
        <v>18</v>
      </c>
      <c r="D47" s="22">
        <f>'Theme Stats'!G15</f>
        <v>-3</v>
      </c>
      <c r="E47" s="22" t="str">
        <f t="shared" si="0"/>
        <v>Contested — strength AND weakness</v>
      </c>
    </row>
    <row r="48" spans="1:5" x14ac:dyDescent="0.35">
      <c r="A48" s="22" t="str">
        <f>'Theme Stats'!A16</f>
        <v>Pricing &amp; fees</v>
      </c>
      <c r="B48" s="22">
        <f>'Theme Stats'!D16</f>
        <v>11</v>
      </c>
      <c r="C48" s="22">
        <f>'Theme Stats'!B16</f>
        <v>21</v>
      </c>
      <c r="D48" s="22">
        <f>'Theme Stats'!G16</f>
        <v>-10</v>
      </c>
      <c r="E48" s="22" t="str">
        <f t="shared" si="0"/>
        <v>Clear pain point</v>
      </c>
    </row>
    <row r="49" spans="1:5" x14ac:dyDescent="0.35">
      <c r="A49" s="22" t="str">
        <f>'Theme Stats'!A17</f>
        <v>Service model &amp; restructuring</v>
      </c>
      <c r="B49" s="22">
        <f>'Theme Stats'!D17</f>
        <v>11</v>
      </c>
      <c r="C49" s="22">
        <f>'Theme Stats'!B17</f>
        <v>16</v>
      </c>
      <c r="D49" s="22">
        <f>'Theme Stats'!G17</f>
        <v>-5</v>
      </c>
      <c r="E49" s="22" t="str">
        <f t="shared" si="0"/>
        <v>Neutral / low volume</v>
      </c>
    </row>
    <row r="50" spans="1:5" x14ac:dyDescent="0.35">
      <c r="A50" s="22" t="str">
        <f>'Theme Stats'!A18</f>
        <v>Onboarding &amp; account administration</v>
      </c>
      <c r="B50" s="22">
        <f>'Theme Stats'!D18</f>
        <v>6</v>
      </c>
      <c r="C50" s="22">
        <f>'Theme Stats'!B18</f>
        <v>18</v>
      </c>
      <c r="D50" s="22">
        <f>'Theme Stats'!G18</f>
        <v>-12</v>
      </c>
      <c r="E50" s="22" t="str">
        <f t="shared" si="0"/>
        <v>Clear pain point</v>
      </c>
    </row>
    <row r="51" spans="1:5" x14ac:dyDescent="0.35">
      <c r="A51" s="22" t="str">
        <f>'Theme Stats'!A19</f>
        <v>Product breadth &amp; offering</v>
      </c>
      <c r="B51" s="22">
        <f>'Theme Stats'!D19</f>
        <v>16</v>
      </c>
      <c r="C51" s="22">
        <f>'Theme Stats'!B19</f>
        <v>3</v>
      </c>
      <c r="D51" s="22">
        <f>'Theme Stats'!G19</f>
        <v>13</v>
      </c>
      <c r="E51" s="22" t="str">
        <f t="shared" si="0"/>
        <v>Clear strength</v>
      </c>
    </row>
    <row r="52" spans="1:5" x14ac:dyDescent="0.35">
      <c r="A52" s="22" t="str">
        <f>'Theme Stats'!A20</f>
        <v>Training &amp; education</v>
      </c>
      <c r="B52" s="22">
        <f>'Theme Stats'!D20</f>
        <v>3</v>
      </c>
      <c r="C52" s="22">
        <f>'Theme Stats'!B20</f>
        <v>14</v>
      </c>
      <c r="D52" s="22">
        <f>'Theme Stats'!G20</f>
        <v>-11</v>
      </c>
      <c r="E52" s="22" t="str">
        <f t="shared" si="0"/>
        <v>Clear pain point</v>
      </c>
    </row>
    <row r="53" spans="1:5" x14ac:dyDescent="0.35">
      <c r="A53" s="22" t="str">
        <f>'Theme Stats'!A21</f>
        <v>Competitive position &amp; alternatives</v>
      </c>
      <c r="B53" s="22">
        <f>'Theme Stats'!D21</f>
        <v>2</v>
      </c>
      <c r="C53" s="22">
        <f>'Theme Stats'!B21</f>
        <v>8</v>
      </c>
      <c r="D53" s="22">
        <f>'Theme Stats'!G21</f>
        <v>-6</v>
      </c>
      <c r="E53" s="22" t="str">
        <f t="shared" si="0"/>
        <v>Neutral / low volume</v>
      </c>
    </row>
    <row r="54" spans="1:5" x14ac:dyDescent="0.35">
      <c r="A54" s="22" t="str">
        <f>'Theme Stats'!A22</f>
        <v>Ease of contact &amp; routing</v>
      </c>
      <c r="B54" s="22">
        <f>'Theme Stats'!D22</f>
        <v>0</v>
      </c>
      <c r="C54" s="22">
        <f>'Theme Stats'!B22</f>
        <v>9</v>
      </c>
      <c r="D54" s="22">
        <f>'Theme Stats'!G22</f>
        <v>-9</v>
      </c>
      <c r="E54" s="22" t="str">
        <f t="shared" si="0"/>
        <v>Neutral / low volume</v>
      </c>
    </row>
    <row r="55" spans="1:5" x14ac:dyDescent="0.35">
      <c r="A55" s="22" t="str">
        <f>'Theme Stats'!A23</f>
        <v>Staffing &amp; resources</v>
      </c>
      <c r="B55" s="22">
        <f>'Theme Stats'!D23</f>
        <v>2</v>
      </c>
      <c r="C55" s="22">
        <f>'Theme Stats'!B23</f>
        <v>7</v>
      </c>
      <c r="D55" s="22">
        <f>'Theme Stats'!G23</f>
        <v>-5</v>
      </c>
      <c r="E55" s="22" t="str">
        <f t="shared" si="0"/>
        <v>Neutral / low volume</v>
      </c>
    </row>
    <row r="57" spans="1:5" x14ac:dyDescent="0.35">
      <c r="A57" s="49" t="s">
        <v>1826</v>
      </c>
    </row>
    <row r="58" spans="1:5" x14ac:dyDescent="0.35">
      <c r="A58" s="38" t="s">
        <v>1827</v>
      </c>
      <c r="B58" s="38" t="s">
        <v>1768</v>
      </c>
      <c r="C58" s="38" t="s">
        <v>1828</v>
      </c>
    </row>
    <row r="59" spans="1:5" x14ac:dyDescent="0.35">
      <c r="A59" s="22" t="s">
        <v>1754</v>
      </c>
      <c r="B59" s="22">
        <f>COUNTIF('Score Data'!$O$2:$O$195,"A better experience with NBIN")</f>
        <v>25</v>
      </c>
      <c r="C59" s="47">
        <f>B59/SUM($B$59:$B$62)</f>
        <v>0.38461538461538464</v>
      </c>
    </row>
    <row r="60" spans="1:5" x14ac:dyDescent="0.35">
      <c r="A60" s="22" t="s">
        <v>1753</v>
      </c>
      <c r="B60" s="22">
        <f>COUNTIF('Score Data'!$O$2:$O$195,"A similar experience")</f>
        <v>22</v>
      </c>
      <c r="C60" s="47">
        <f>B60/SUM($B$59:$B$62)</f>
        <v>0.33846153846153848</v>
      </c>
    </row>
    <row r="61" spans="1:5" x14ac:dyDescent="0.35">
      <c r="A61" s="22" t="s">
        <v>1752</v>
      </c>
      <c r="B61" s="22">
        <f>COUNTIF('Score Data'!$O$2:$O$195,"A worse experience with NBIN")</f>
        <v>13</v>
      </c>
      <c r="C61" s="47">
        <f>B61/SUM($B$59:$B$62)</f>
        <v>0.2</v>
      </c>
    </row>
    <row r="62" spans="1:5" x14ac:dyDescent="0.35">
      <c r="A62" s="22" t="s">
        <v>1755</v>
      </c>
      <c r="B62" s="22">
        <f>COUNTIF('Score Data'!$O$2:$O$195,"It depends")</f>
        <v>5</v>
      </c>
      <c r="C62" s="47">
        <f>B62/SUM($B$59:$B$62)</f>
        <v>7.6923076923076927E-2</v>
      </c>
    </row>
    <row r="64" spans="1:5" x14ac:dyDescent="0.35">
      <c r="A64" s="49" t="s">
        <v>1829</v>
      </c>
    </row>
    <row r="65" spans="1:5" ht="23.9" customHeight="1" x14ac:dyDescent="0.35">
      <c r="A65" s="18" t="s">
        <v>305</v>
      </c>
      <c r="B65" s="52" t="s">
        <v>1830</v>
      </c>
      <c r="C65" s="52"/>
      <c r="D65" s="52"/>
      <c r="E65" s="52"/>
    </row>
    <row r="66" spans="1:5" ht="23.9" customHeight="1" x14ac:dyDescent="0.35">
      <c r="A66" s="18" t="s">
        <v>187</v>
      </c>
      <c r="B66" s="52" t="s">
        <v>1831</v>
      </c>
      <c r="C66" s="52"/>
      <c r="D66" s="52"/>
      <c r="E66" s="52"/>
    </row>
    <row r="67" spans="1:5" ht="15" customHeight="1" x14ac:dyDescent="0.35">
      <c r="A67" s="18" t="s">
        <v>1832</v>
      </c>
      <c r="B67" s="52" t="s">
        <v>1833</v>
      </c>
      <c r="C67" s="52"/>
      <c r="D67" s="52"/>
      <c r="E67" s="52"/>
    </row>
    <row r="68" spans="1:5" ht="23.9" customHeight="1" x14ac:dyDescent="0.35">
      <c r="A68" s="18" t="s">
        <v>1834</v>
      </c>
      <c r="B68" s="52" t="s">
        <v>1835</v>
      </c>
      <c r="C68" s="52"/>
      <c r="D68" s="52"/>
      <c r="E68" s="52"/>
    </row>
    <row r="69" spans="1:5" ht="15" customHeight="1" x14ac:dyDescent="0.35">
      <c r="A69" s="18" t="s">
        <v>1836</v>
      </c>
      <c r="B69" s="52" t="s">
        <v>1837</v>
      </c>
      <c r="C69" s="52"/>
      <c r="D69" s="52"/>
      <c r="E69" s="52"/>
    </row>
  </sheetData>
  <mergeCells count="5">
    <mergeCell ref="B65:E65"/>
    <mergeCell ref="B66:E66"/>
    <mergeCell ref="B67:E67"/>
    <mergeCell ref="B68:E68"/>
    <mergeCell ref="B69:E69"/>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zoomScaleNormal="100" workbookViewId="0"/>
  </sheetViews>
  <sheetFormatPr defaultColWidth="8.6328125" defaultRowHeight="14.5" x14ac:dyDescent="0.35"/>
  <sheetData>
    <row r="1" spans="1:1" ht="16.5" x14ac:dyDescent="0.35">
      <c r="A1" s="40" t="s">
        <v>1838</v>
      </c>
    </row>
  </sheetData>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 Me</vt:lpstr>
      <vt:lpstr>Summary</vt:lpstr>
      <vt:lpstr>Categorized Verbatims</vt:lpstr>
      <vt:lpstr>Score Data</vt:lpstr>
      <vt:lpstr>Theme Stats</vt:lpstr>
      <vt:lpstr>Section Scores</vt:lpstr>
      <vt:lpstr>NPS Analysis</vt:lpstr>
      <vt:lpstr>Gap Analysis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Ali Azizi</cp:lastModifiedBy>
  <cp:revision>1</cp:revision>
  <dcterms:created xsi:type="dcterms:W3CDTF">2026-08-28T17:41:23Z</dcterms:created>
  <dcterms:modified xsi:type="dcterms:W3CDTF">2026-08-28T17:48:35Z</dcterms:modified>
  <dc:language>en-US</dc:language>
</cp:coreProperties>
</file>